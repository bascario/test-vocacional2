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Ruben\Downloads\"/>
    </mc:Choice>
  </mc:AlternateContent>
  <xr:revisionPtr revIDLastSave="0" documentId="13_ncr:1_{E724E181-72F2-493C-B556-380591E395EF}" xr6:coauthVersionLast="47" xr6:coauthVersionMax="47" xr10:uidLastSave="{00000000-0000-0000-0000-000000000000}"/>
  <bookViews>
    <workbookView xWindow="-120" yWindow="-120" windowWidth="29040" windowHeight="15720" activeTab="3" xr2:uid="{00000000-000D-0000-FFFF-FFFF00000000}"/>
  </bookViews>
  <sheets>
    <sheet name="INSTRUCCIONES" sheetId="4" r:id="rId1"/>
    <sheet name="ENCUESTA" sheetId="5" r:id="rId2"/>
    <sheet name="CUESTIONARIO" sheetId="1" r:id="rId3"/>
    <sheet name="fórmulas" sheetId="2" r:id="rId4"/>
    <sheet name="RESULTADOS" sheetId="3" r:id="rId5"/>
  </sheets>
  <calcPr calcId="191028"/>
</workbook>
</file>

<file path=xl/calcChain.xml><?xml version="1.0" encoding="utf-8"?>
<calcChain xmlns="http://schemas.openxmlformats.org/spreadsheetml/2006/main">
  <c r="C24" i="3" l="1"/>
  <c r="B6" i="2"/>
  <c r="B18" i="2"/>
  <c r="B24" i="2"/>
  <c r="B30" i="2"/>
  <c r="B36" i="2"/>
  <c r="B42" i="2"/>
  <c r="B48" i="2"/>
  <c r="B54" i="2"/>
  <c r="B60" i="2"/>
  <c r="E6" i="2"/>
  <c r="H6" i="2"/>
  <c r="B7" i="2"/>
  <c r="B19" i="2"/>
  <c r="B25" i="2"/>
  <c r="B31" i="2"/>
  <c r="B37" i="2"/>
  <c r="B43" i="2"/>
  <c r="B49" i="2"/>
  <c r="B55" i="2"/>
  <c r="B61" i="2"/>
  <c r="E7" i="2"/>
  <c r="H7" i="2"/>
  <c r="N6" i="2"/>
  <c r="P6" i="2"/>
  <c r="D53" i="3"/>
  <c r="B5" i="2"/>
  <c r="B17" i="2"/>
  <c r="B23" i="2"/>
  <c r="B29" i="2"/>
  <c r="B35" i="2"/>
  <c r="B41" i="2"/>
  <c r="B47" i="2"/>
  <c r="B53" i="2"/>
  <c r="B59" i="2"/>
  <c r="E5" i="2"/>
  <c r="H5" i="2"/>
  <c r="N5" i="2"/>
  <c r="P5" i="2"/>
  <c r="D52" i="3"/>
  <c r="B4" i="2"/>
  <c r="B16" i="2"/>
  <c r="B22" i="2"/>
  <c r="E4" i="2" s="1"/>
  <c r="B28" i="2"/>
  <c r="B34" i="2"/>
  <c r="B40" i="2"/>
  <c r="B46" i="2"/>
  <c r="B52" i="2"/>
  <c r="B58" i="2"/>
  <c r="J18" i="2"/>
  <c r="J36" i="2"/>
  <c r="J55" i="2"/>
  <c r="H45" i="3"/>
  <c r="I18" i="2"/>
  <c r="I36" i="2"/>
  <c r="I55" i="2"/>
  <c r="G45" i="3"/>
  <c r="H18" i="2"/>
  <c r="H36" i="2"/>
  <c r="H55" i="2"/>
  <c r="F45" i="3"/>
  <c r="J17" i="2"/>
  <c r="J35" i="2"/>
  <c r="J54" i="2"/>
  <c r="H44" i="3"/>
  <c r="I17" i="2"/>
  <c r="I35" i="2"/>
  <c r="I54" i="2"/>
  <c r="G44" i="3"/>
  <c r="H17" i="2"/>
  <c r="H35" i="2"/>
  <c r="H54" i="2"/>
  <c r="F44" i="3"/>
  <c r="J16" i="2"/>
  <c r="J34" i="2"/>
  <c r="J53" i="2"/>
  <c r="H43" i="3"/>
  <c r="I16" i="2"/>
  <c r="I34" i="2"/>
  <c r="I53" i="2"/>
  <c r="G43" i="3"/>
  <c r="H16" i="2"/>
  <c r="H34" i="2"/>
  <c r="H53" i="2"/>
  <c r="F43" i="3"/>
  <c r="I7" i="2"/>
  <c r="C29" i="3"/>
  <c r="I6" i="2"/>
  <c r="C28" i="3"/>
  <c r="I5" i="2"/>
  <c r="C27" i="3"/>
  <c r="E15" i="3"/>
  <c r="E14" i="3"/>
  <c r="E13" i="3"/>
  <c r="C8" i="3"/>
  <c r="D7" i="3"/>
  <c r="C7" i="3"/>
  <c r="E6" i="3"/>
  <c r="C6" i="3"/>
  <c r="B57" i="2"/>
  <c r="B56" i="2"/>
  <c r="B3" i="2"/>
  <c r="B15" i="2"/>
  <c r="B21" i="2"/>
  <c r="B27" i="2"/>
  <c r="B33" i="2"/>
  <c r="B39" i="2"/>
  <c r="B45" i="2"/>
  <c r="B51" i="2"/>
  <c r="B2" i="2"/>
  <c r="E2" i="2" s="1"/>
  <c r="B14" i="2"/>
  <c r="B20" i="2"/>
  <c r="B26" i="2"/>
  <c r="B32" i="2"/>
  <c r="B38" i="2"/>
  <c r="B44" i="2"/>
  <c r="B50" i="2"/>
  <c r="B13" i="2"/>
  <c r="B12" i="2"/>
  <c r="B11" i="2"/>
  <c r="B10" i="2"/>
  <c r="B9" i="2"/>
  <c r="B8" i="2"/>
  <c r="E3" i="2"/>
  <c r="G3" i="2"/>
  <c r="F14" i="2"/>
  <c r="F18" i="2"/>
  <c r="F27" i="2"/>
  <c r="F46" i="2"/>
  <c r="J14" i="2"/>
  <c r="J23" i="2"/>
  <c r="J42" i="2"/>
  <c r="G7" i="2"/>
  <c r="I26" i="2"/>
  <c r="I45" i="2"/>
  <c r="F17" i="2"/>
  <c r="G6" i="2"/>
  <c r="I14" i="2"/>
  <c r="I32" i="2"/>
  <c r="I51" i="2"/>
  <c r="G41" i="3"/>
  <c r="H27" i="2"/>
  <c r="H46" i="2"/>
  <c r="H14" i="2"/>
  <c r="H32" i="2"/>
  <c r="H51" i="2"/>
  <c r="F41" i="3"/>
  <c r="G5" i="2"/>
  <c r="H3" i="2"/>
  <c r="F16" i="2"/>
  <c r="F25" i="2"/>
  <c r="F44" i="2"/>
  <c r="I23" i="2"/>
  <c r="I42" i="2"/>
  <c r="J27" i="2"/>
  <c r="J46" i="2"/>
  <c r="J26" i="2"/>
  <c r="J45" i="2"/>
  <c r="H25" i="2"/>
  <c r="H44" i="2"/>
  <c r="J25" i="2"/>
  <c r="J44" i="2"/>
  <c r="H23" i="2"/>
  <c r="H42" i="2"/>
  <c r="F26" i="2"/>
  <c r="F45" i="2"/>
  <c r="F35" i="2"/>
  <c r="F54" i="2"/>
  <c r="D44" i="3"/>
  <c r="J32" i="2"/>
  <c r="J51" i="2"/>
  <c r="H41" i="3"/>
  <c r="F23" i="2"/>
  <c r="F42" i="2"/>
  <c r="F32" i="2"/>
  <c r="F51" i="2"/>
  <c r="D41" i="3"/>
  <c r="I3" i="2"/>
  <c r="C25" i="3"/>
  <c r="M6" i="2"/>
  <c r="O6" i="2"/>
  <c r="F36" i="2"/>
  <c r="F55" i="2"/>
  <c r="D45" i="3"/>
  <c r="M5" i="2"/>
  <c r="O5" i="2"/>
  <c r="F34" i="2"/>
  <c r="F53" i="2"/>
  <c r="D43" i="3"/>
  <c r="H26" i="2"/>
  <c r="H45" i="2"/>
  <c r="I25" i="2"/>
  <c r="I44" i="2"/>
  <c r="I27" i="2"/>
  <c r="I46" i="2"/>
  <c r="G17" i="2" l="1"/>
  <c r="G4" i="2"/>
  <c r="H4" i="2"/>
  <c r="G16" i="2"/>
  <c r="H15" i="2"/>
  <c r="G14" i="2"/>
  <c r="I15" i="2"/>
  <c r="G18" i="2"/>
  <c r="J15" i="2"/>
  <c r="G15" i="2"/>
  <c r="F15" i="2"/>
  <c r="E17" i="2"/>
  <c r="I13" i="2"/>
  <c r="H2" i="2"/>
  <c r="E8" i="2"/>
  <c r="G13" i="2"/>
  <c r="E18" i="2"/>
  <c r="F13" i="2"/>
  <c r="G2" i="2"/>
  <c r="J13" i="2"/>
  <c r="E16" i="2"/>
  <c r="E13" i="2"/>
  <c r="E15" i="2"/>
  <c r="H13" i="2"/>
  <c r="E14" i="2"/>
  <c r="F33" i="2" l="1"/>
  <c r="F52" i="2" s="1"/>
  <c r="D42" i="3" s="1"/>
  <c r="F24" i="2"/>
  <c r="F43" i="2" s="1"/>
  <c r="G24" i="2"/>
  <c r="G43" i="2" s="1"/>
  <c r="G33" i="2"/>
  <c r="G52" i="2" s="1"/>
  <c r="E42" i="3" s="1"/>
  <c r="J24" i="2"/>
  <c r="J43" i="2" s="1"/>
  <c r="J33" i="2"/>
  <c r="J52" i="2" s="1"/>
  <c r="H42" i="3" s="1"/>
  <c r="G27" i="2"/>
  <c r="G46" i="2" s="1"/>
  <c r="G36" i="2"/>
  <c r="G55" i="2" s="1"/>
  <c r="E45" i="3" s="1"/>
  <c r="I24" i="2"/>
  <c r="I43" i="2" s="1"/>
  <c r="I33" i="2"/>
  <c r="I52" i="2" s="1"/>
  <c r="G42" i="3" s="1"/>
  <c r="G23" i="2"/>
  <c r="G42" i="2" s="1"/>
  <c r="G32" i="2"/>
  <c r="G51" i="2" s="1"/>
  <c r="E41" i="3" s="1"/>
  <c r="H33" i="2"/>
  <c r="H52" i="2" s="1"/>
  <c r="F42" i="3" s="1"/>
  <c r="H24" i="2"/>
  <c r="H43" i="2" s="1"/>
  <c r="G34" i="2"/>
  <c r="G53" i="2" s="1"/>
  <c r="E43" i="3" s="1"/>
  <c r="G25" i="2"/>
  <c r="G44" i="2" s="1"/>
  <c r="N4" i="2"/>
  <c r="P4" i="2" s="1"/>
  <c r="D51" i="3" s="1"/>
  <c r="I4" i="2"/>
  <c r="C26" i="3" s="1"/>
  <c r="N3" i="2"/>
  <c r="P3" i="2" s="1"/>
  <c r="D50" i="3" s="1"/>
  <c r="M4" i="2"/>
  <c r="O4" i="2" s="1"/>
  <c r="M3" i="2"/>
  <c r="O3" i="2" s="1"/>
  <c r="G26" i="2"/>
  <c r="G45" i="2" s="1"/>
  <c r="G35" i="2"/>
  <c r="G54" i="2" s="1"/>
  <c r="E44" i="3" s="1"/>
  <c r="M2" i="2"/>
  <c r="O2" i="2" s="1"/>
  <c r="M7" i="2"/>
  <c r="O7" i="2" s="1"/>
  <c r="E27" i="2"/>
  <c r="E46" i="2" s="1"/>
  <c r="E36" i="2"/>
  <c r="E55" i="2" s="1"/>
  <c r="C45" i="3" s="1"/>
  <c r="G31" i="2"/>
  <c r="G50" i="2" s="1"/>
  <c r="E40" i="3" s="1"/>
  <c r="G22" i="2"/>
  <c r="G41" i="2" s="1"/>
  <c r="I2" i="2"/>
  <c r="N7" i="2"/>
  <c r="P7" i="2" s="1"/>
  <c r="D54" i="3" s="1"/>
  <c r="N2" i="2"/>
  <c r="P2" i="2" s="1"/>
  <c r="D49" i="3" s="1"/>
  <c r="H31" i="2"/>
  <c r="H50" i="2" s="1"/>
  <c r="F40" i="3" s="1"/>
  <c r="H22" i="2"/>
  <c r="H41" i="2" s="1"/>
  <c r="E35" i="2"/>
  <c r="E54" i="2" s="1"/>
  <c r="C44" i="3" s="1"/>
  <c r="E26" i="2"/>
  <c r="E45" i="2" s="1"/>
  <c r="E33" i="2"/>
  <c r="E52" i="2" s="1"/>
  <c r="C42" i="3" s="1"/>
  <c r="E24" i="2"/>
  <c r="E43" i="2" s="1"/>
  <c r="E22" i="2"/>
  <c r="E41" i="2" s="1"/>
  <c r="E31" i="2"/>
  <c r="E50" i="2" s="1"/>
  <c r="C40" i="3" s="1"/>
  <c r="E25" i="2"/>
  <c r="E44" i="2" s="1"/>
  <c r="E34" i="2"/>
  <c r="E53" i="2" s="1"/>
  <c r="C43" i="3" s="1"/>
  <c r="J31" i="2"/>
  <c r="J50" i="2" s="1"/>
  <c r="H40" i="3" s="1"/>
  <c r="J22" i="2"/>
  <c r="J41" i="2" s="1"/>
  <c r="F31" i="2"/>
  <c r="F50" i="2" s="1"/>
  <c r="D40" i="3" s="1"/>
  <c r="F22" i="2"/>
  <c r="F41" i="2" s="1"/>
  <c r="G8" i="2"/>
  <c r="H8" i="2"/>
  <c r="I8" i="2" s="1"/>
  <c r="C34" i="3" s="1"/>
  <c r="E32" i="2"/>
  <c r="E51" i="2" s="1"/>
  <c r="C41" i="3" s="1"/>
  <c r="E23" i="2"/>
  <c r="E42" i="2" s="1"/>
  <c r="I22" i="2"/>
  <c r="I41" i="2" s="1"/>
  <c r="I31" i="2"/>
  <c r="I50" i="2" s="1"/>
  <c r="G40" i="3" s="1"/>
</calcChain>
</file>

<file path=xl/sharedStrings.xml><?xml version="1.0" encoding="utf-8"?>
<sst xmlns="http://schemas.openxmlformats.org/spreadsheetml/2006/main" count="434" uniqueCount="252">
  <si>
    <t>Me gusta realizar pequeñas reparaciones de equipos electrodomésticos.</t>
  </si>
  <si>
    <t>El trabajo científico me parece muy interesante.</t>
  </si>
  <si>
    <t xml:space="preserve">Sé tocar un instrumento musical o me gustaría aprender. </t>
  </si>
  <si>
    <t xml:space="preserve">Me gustaría cuidar personas con enfermedades mentales. </t>
  </si>
  <si>
    <t xml:space="preserve">Me siento bien y me las arreglo cuando tengo que organizar el trabajo de mis compañeros y compañeras. Fijarles tareas y comprobar si han sido realizadas. </t>
  </si>
  <si>
    <t xml:space="preserve">Me gusta llevar mis cuadernos de manera ordenada y limpia. </t>
  </si>
  <si>
    <t xml:space="preserve">Me gustaría trabajar en el servicio técnico de una empresa. </t>
  </si>
  <si>
    <t xml:space="preserve">Me gustaría trabajar en un centro de investigación o en un laboratorio. </t>
  </si>
  <si>
    <t xml:space="preserve">En el futuro me gustaría escribir poemas, guiones de películas o de juegos de video. </t>
  </si>
  <si>
    <t>Me gusta mucho participar en organizaciones no gubernamentales como la Cruz Roja o una organización de jóvenes exploradores.</t>
  </si>
  <si>
    <t xml:space="preserve">A veces en la escuela soluciono conflictos de mis compañeros y compañeras. </t>
  </si>
  <si>
    <t xml:space="preserve">En mi puesto de trabajo me gustaría trabajar según normas estrictamente definidas. </t>
  </si>
  <si>
    <t xml:space="preserve">Me interesan los aspectos técnicos de la industria automotriz. </t>
  </si>
  <si>
    <t xml:space="preserve">Me interesan los descubrimientos científicos y las nuevas invenciones. </t>
  </si>
  <si>
    <t xml:space="preserve">Me gusta ver exposiciones de esculturas, pintura o fotografía. </t>
  </si>
  <si>
    <t xml:space="preserve">Me gusta participar en labores sociales. </t>
  </si>
  <si>
    <t xml:space="preserve">Me gustaría tener un trabajo donde tenga que realizar tareas muy precisas. </t>
  </si>
  <si>
    <t xml:space="preserve">Dibujar esquemas o proyectos de equipos es una tarea interesante y agradable para mí. </t>
  </si>
  <si>
    <t>Me gusta hacer experimentos y observar cómo se hacen.</t>
  </si>
  <si>
    <t xml:space="preserve">Me gusta participar en clases de arte, música o de literatura. </t>
  </si>
  <si>
    <t xml:space="preserve">Me sentiría bien ayudando a las demás personas a comprenderse. </t>
  </si>
  <si>
    <t xml:space="preserve">Me gusta tomar la palabra en diferentes discusiones y convencer a la gente. </t>
  </si>
  <si>
    <t xml:space="preserve">Me gusta respetar y cumplir las fechas límites. </t>
  </si>
  <si>
    <t xml:space="preserve">En el futuro me gustaría trabajar con herramientas y equipos técnicos. </t>
  </si>
  <si>
    <t xml:space="preserve">Me gusta ver los programas de televisión dedicados a las novedades científicas. </t>
  </si>
  <si>
    <t xml:space="preserve">Me interesan las revistas dedicadas al arte, a los muebles y a la arquitectura. </t>
  </si>
  <si>
    <t xml:space="preserve">Con muchas ganas y gran dedicación enseñaría a jóvenes cómo evitar ciertas adicciones. </t>
  </si>
  <si>
    <t xml:space="preserve">Me gustaría liderar un grupo de mis compañeros y compañeras para organizar una fiesta escolar. </t>
  </si>
  <si>
    <t>Me gustaría tener un trabajo tranquilo, con reglas o instrucciones claras.</t>
  </si>
  <si>
    <t xml:space="preserve">Conozco el diseño y el funcionamiento del computador. </t>
  </si>
  <si>
    <t xml:space="preserve">Cuando paseo en las montañas o en un bosque me detengo para ver de cerca plantas y árboles que no conozco. </t>
  </si>
  <si>
    <t xml:space="preserve">Me gustaría tocar en un grupo musical o en una orquesta. </t>
  </si>
  <si>
    <t xml:space="preserve">En el futuro me gustaría trabajar con niños y niñas. </t>
  </si>
  <si>
    <t xml:space="preserve">Sé dar instrucciones y consejos claros a las demás personas. </t>
  </si>
  <si>
    <t xml:space="preserve">Por las tardes me gusta planear el trabajo que tengo que hacer al día siguiente. </t>
  </si>
  <si>
    <t xml:space="preserve">Me gustaría trabajar en un taller de mecánica automotriz. </t>
  </si>
  <si>
    <t xml:space="preserve">Me interesan nuevas ramas de la ciencia, como la genética o la biotecnología. </t>
  </si>
  <si>
    <t xml:space="preserve">Me gustaría crear o componer algún tipo de música. </t>
  </si>
  <si>
    <t>Me gustaría ayudar a la gente a resolver sus problemas sociales.</t>
  </si>
  <si>
    <t xml:space="preserve">Me gustaría desempeñar la presidencia de mi clase. </t>
  </si>
  <si>
    <t xml:space="preserve">En mi mesa de estudios me gusta tener todo perfectamente ordenado. </t>
  </si>
  <si>
    <t xml:space="preserve">Me gustaría aprender a hacer dibujos técnicos. </t>
  </si>
  <si>
    <t xml:space="preserve">Me gustaría realizar estudios y descubrir la vacuna contra una enfermedad grave. </t>
  </si>
  <si>
    <t xml:space="preserve">Me gustaría hacer dibujos para libros o crear carteles. </t>
  </si>
  <si>
    <t xml:space="preserve">En mi futuro trabajo me gustaría ayudar a personas con discapacidades. </t>
  </si>
  <si>
    <t xml:space="preserve">Me gustaría tener un trabajo donde pudiera tomar decisiones y planear acciones para otras personas. </t>
  </si>
  <si>
    <t xml:space="preserve">Me gusta planificar y controlar bien mis gastos. </t>
  </si>
  <si>
    <t xml:space="preserve">Me gusta aprender cómo funcionan los equipos técnicos. </t>
  </si>
  <si>
    <t>Me gustaría realizar estudios sobre el funcionamiento del cerebro.</t>
  </si>
  <si>
    <t xml:space="preserve">En el futuro me gustaría expresarme mediante una actividad creativa como: la pintura, el dibujo, la escultura, el baile o el canto. </t>
  </si>
  <si>
    <t xml:space="preserve">Me gustaría trabajar en un centro de ayuda telefónica para jóvenes. </t>
  </si>
  <si>
    <t xml:space="preserve">Me gustaría aprender a liderar a la gente para gestionar sus acciones. </t>
  </si>
  <si>
    <t xml:space="preserve">Me gusta tener ordenada mi habitación y mi mesa de estudios. </t>
  </si>
  <si>
    <t xml:space="preserve">Me gustaría diseñar o arreglar máquinas y equipos modernos. </t>
  </si>
  <si>
    <t xml:space="preserve">Me interesan nuevas ramas de la ciencia y la tecnología. </t>
  </si>
  <si>
    <t xml:space="preserve">Me gustaría actuar en un escenario: bailar, cantar e interpretar papeles. </t>
  </si>
  <si>
    <t xml:space="preserve">Me sentiría bien ayudando a personas nerviosas o tristes por algún motivo. </t>
  </si>
  <si>
    <t xml:space="preserve">Me gusta dirigir el trabajo de las demás personas. </t>
  </si>
  <si>
    <t>Me gusta organizar mi trabajo día a día y para la semana.</t>
  </si>
  <si>
    <t>1. Totalmente en desacuerdo</t>
  </si>
  <si>
    <t>2. En desacuerdo</t>
  </si>
  <si>
    <t>3. Es difícil decidir</t>
  </si>
  <si>
    <t>4. De acuerdo</t>
  </si>
  <si>
    <t>5. Totalmente de acuerdo</t>
  </si>
  <si>
    <t xml:space="preserve">No. </t>
  </si>
  <si>
    <t xml:space="preserve">RESPUESTA </t>
  </si>
  <si>
    <t>Puntaje neto</t>
  </si>
  <si>
    <t xml:space="preserve">REALISTA </t>
  </si>
  <si>
    <t xml:space="preserve">INVESTIGADORA </t>
  </si>
  <si>
    <t xml:space="preserve">ARTISTICA </t>
  </si>
  <si>
    <t xml:space="preserve">SOCIAL </t>
  </si>
  <si>
    <t xml:space="preserve">EMPRENDEDORA </t>
  </si>
  <si>
    <t xml:space="preserve">CONVENCIONAL </t>
  </si>
  <si>
    <t>SUMA Puntaje neto</t>
  </si>
  <si>
    <t>STEN HOMBRES</t>
  </si>
  <si>
    <t>STEN MUJERES</t>
  </si>
  <si>
    <t>INTENSIDAD (TOTAL DIMENSIONES)</t>
  </si>
  <si>
    <t>TEST DE ORIENTACIÓN VOCACIONAL</t>
  </si>
  <si>
    <t>A continuación sigue los siguientes pasos:</t>
  </si>
  <si>
    <t>1. Lee cuidadosa y completamente estas instrucciones antes de iniciar.</t>
  </si>
  <si>
    <t>2. Coloca tu nombre en letras mayúsculas. Elige el paralelo de la lista que se despliega. Escribe tu edad en números. Finalmente pon la fecha, usando el formato dd/mm/aa.</t>
  </si>
  <si>
    <t>¡Empecemos!</t>
  </si>
  <si>
    <t>DATOS PERSONALES</t>
  </si>
  <si>
    <t>INDICACIONES</t>
  </si>
  <si>
    <t>Apellidos:</t>
  </si>
  <si>
    <t>USA MAYÚSCULAS</t>
  </si>
  <si>
    <t>Nombres:</t>
  </si>
  <si>
    <t xml:space="preserve">Curso: </t>
  </si>
  <si>
    <t>LISTA DESPLEGABLE</t>
  </si>
  <si>
    <t xml:space="preserve">Paralelo: </t>
  </si>
  <si>
    <t xml:space="preserve">Edad: </t>
  </si>
  <si>
    <t>SÓLO NÚMEROS</t>
  </si>
  <si>
    <t xml:space="preserve">Fecha: </t>
  </si>
  <si>
    <t>DD/MM/AA. Ejemplo: 31/10/17</t>
  </si>
  <si>
    <t>ENCUESTA</t>
  </si>
  <si>
    <t>1º BGU</t>
  </si>
  <si>
    <t>A</t>
  </si>
  <si>
    <t>FÍSICO-MATEMÁTICO</t>
  </si>
  <si>
    <t>2º BGU</t>
  </si>
  <si>
    <t>B</t>
  </si>
  <si>
    <t>QUÍMICO-BIÓLOGO</t>
  </si>
  <si>
    <t>3º BGU</t>
  </si>
  <si>
    <t>C</t>
  </si>
  <si>
    <t>CIENCIAS SOCIALES</t>
  </si>
  <si>
    <t>Género:</t>
  </si>
  <si>
    <t>MASCULINO</t>
  </si>
  <si>
    <t>FEMENINO</t>
  </si>
  <si>
    <t>INTENSIDAD GÉNERO</t>
  </si>
  <si>
    <t>INTENSIDAD</t>
  </si>
  <si>
    <t>DIFERENCIACIÓN</t>
  </si>
  <si>
    <t xml:space="preserve">NIVEL </t>
  </si>
  <si>
    <t>STEN DIFERENCIACIÓN MUJERES</t>
  </si>
  <si>
    <t>STEN DIFERENCIACIÓN HOMBRES</t>
  </si>
  <si>
    <t>INTERPRETACIÓN DIFERENCIACIÓN MUJERES</t>
  </si>
  <si>
    <t>INTERPRETACIÓN DIFERENCIACIÓN HOMBRES</t>
  </si>
  <si>
    <t xml:space="preserve">DIFERENCIACIÓN </t>
  </si>
  <si>
    <t>CONSISTENCIA MUJERES</t>
  </si>
  <si>
    <t>REALISTA - INVESTIGADORA</t>
  </si>
  <si>
    <t>SOCIAL - EMPRENDEDORA</t>
  </si>
  <si>
    <t>INVESTIGADORA - ARTISTICA</t>
  </si>
  <si>
    <t>ARTISTICA - SOCIAL</t>
  </si>
  <si>
    <t>EMPRENDEDORA - CONVENCIONAL</t>
  </si>
  <si>
    <t>CONVENCIONAL - REALISTA</t>
  </si>
  <si>
    <t>INTERPRETACIÓN CONSISTENCIA HOMBRES</t>
  </si>
  <si>
    <t>INTERPRETACIÓN CONSISTENCIA MUJERES</t>
  </si>
  <si>
    <t>CONSISTENCIA</t>
  </si>
  <si>
    <t>PUNTAJE</t>
  </si>
  <si>
    <t>Lee muy atentamente cada frase y responde sinceramente a la siguiente pregunta: ¿Hasta qué punto este enunciado me caracteriza?</t>
  </si>
  <si>
    <t xml:space="preserve">2. En desacuerdo </t>
  </si>
  <si>
    <t xml:space="preserve">3. Es difícil decidir </t>
  </si>
  <si>
    <t xml:space="preserve">4. De acuerdo </t>
  </si>
  <si>
    <t xml:space="preserve">  </t>
  </si>
  <si>
    <t>Elije de la lista desplegable junto a cada ítem, la respuesta que más se ajusta a tus preferencias. Para ello, cuentas con las siguientes opciones:</t>
  </si>
  <si>
    <t xml:space="preserve">El instrumento que tienes en tus manos contiene 60 afirmaciones (ítemas) sobre aficiones y preferencias. </t>
  </si>
  <si>
    <t xml:space="preserve">4. Luego, ve a la página de "CUESTIONARIO" y contesta cada una de las preguntas en orden. Ten cuidado de no saltarte ninguna frase. </t>
  </si>
  <si>
    <t>3. Ve a la página de "ENCUESTA", y contesta las preguntas. Algunas de ellas son para elegir de una lista desplegable, otras deberás responder con tus propias palabras.</t>
  </si>
  <si>
    <t>*</t>
  </si>
  <si>
    <t>1)</t>
  </si>
  <si>
    <t>2)</t>
  </si>
  <si>
    <t>3)</t>
  </si>
  <si>
    <t xml:space="preserve">2.- </t>
  </si>
  <si>
    <t>¿Qué tipo de actividades realizas en tu tiempo libre? Escribe tres en orden de preferencia:</t>
  </si>
  <si>
    <t>5.-</t>
  </si>
  <si>
    <t>¿Qué es para ti el éxito profesional? Escribe tres características de una persona que es exitosa en su vida laboral:</t>
  </si>
  <si>
    <t>6.-</t>
  </si>
  <si>
    <t>¿Qué tan importante es para ti lograr el éxito en tus estudios y en tu vida laboral? ¿Por qué?</t>
  </si>
  <si>
    <t>7.-</t>
  </si>
  <si>
    <t>Totalmente decidido/a</t>
  </si>
  <si>
    <t>Es a lo que más me inclino, pero tengo algunas dudas</t>
  </si>
  <si>
    <t>No estoy muy seguro/a</t>
  </si>
  <si>
    <t>Tengo muchas dudas</t>
  </si>
  <si>
    <t>No lo sé</t>
  </si>
  <si>
    <t>Educación Básica</t>
  </si>
  <si>
    <t>Bachillerato</t>
  </si>
  <si>
    <t>Tercer nivel (tecnología, licenciatura o ingeniería)</t>
  </si>
  <si>
    <t>Cuarto nivel (maestría, doctorado, post-doctorado)</t>
  </si>
  <si>
    <t>Ciencias Sociales</t>
  </si>
  <si>
    <t>Físico - Matemático</t>
  </si>
  <si>
    <t>Químico - Biológo</t>
  </si>
  <si>
    <t xml:space="preserve">En las actividades de grupo, fomento el liderazgo y la coordinación. </t>
  </si>
  <si>
    <t xml:space="preserve">5. Al finalizar, en la Hoja de "RESULTADOS" encontarás un gráfico con las áreas de preferencias profesionales que más te han llamado la atención. </t>
  </si>
  <si>
    <t>RESULTADOS</t>
  </si>
  <si>
    <t>NOMBRES:</t>
  </si>
  <si>
    <t>CURSO:</t>
  </si>
  <si>
    <t xml:space="preserve">FECHA: </t>
  </si>
  <si>
    <t>CARRERAS PREFERIDAS:</t>
  </si>
  <si>
    <t>I. DATOS PERSONALES</t>
  </si>
  <si>
    <t>II. ENCUESTA</t>
  </si>
  <si>
    <t xml:space="preserve">1.- </t>
  </si>
  <si>
    <t>3.-</t>
  </si>
  <si>
    <t>4.-</t>
  </si>
  <si>
    <t>CARRERA PREFERIDA 1</t>
  </si>
  <si>
    <t>CARRERA PREFERIDA 2</t>
  </si>
  <si>
    <t>CARRERA PREFERIDA 3</t>
  </si>
  <si>
    <t>TIPO VOCACIONAL</t>
  </si>
  <si>
    <t>DEFINICIÓN</t>
  </si>
  <si>
    <t>CAMPOS DE EDUCACIÓN</t>
  </si>
  <si>
    <t>Ingeniería y profesiones afines: dibujo técnico, mecánica, metalistería, electricidad, electrónica, telecomunicaciones, ingeniería energética y química, mantenimiento de vehículos, topografía.</t>
  </si>
  <si>
    <t>Industria y producción: alimentación y bebidas, textiles, confección, calzado, cuero, materiales (madera, papel, plástico, vidrio, entre otros), minería e industrias extractivas.</t>
  </si>
  <si>
    <t>Arquitectura y construcción: arquitectura estructural, arquitectura paisajística, planificación comunitaria, cartografía; edificación, construcción; ingeniería civil.</t>
  </si>
  <si>
    <t>Agricultura: silvicultura y pesca, producción agropecuaria, agronomía, ganadería, horticultura y jardinería, silvicultura y técnicas forestales, parques naturales, flora y fauna, ciencia y tecnología pesqueras. Veterinaria y auxiliar de veterinaria.</t>
  </si>
  <si>
    <t>Servicios de transporte: formación de marinos, oficiales de marina, náutica, tripulación de aviones, control del tráfico aéreo, transporte ferroviario, transporte por carretera, servicios postales.</t>
  </si>
  <si>
    <t>Servicios de seguridad: protección de personas y bienes: servicios de policía y orden público, criminología, prevención y extinción de incendios, seguridad civil, Educación militar.</t>
  </si>
  <si>
    <t>Educación: programas básicos de educación preescolar, elemental, primaria, secundaria, etcétera. Alfabetización simple y funcional; aritmética elemental. Desarrollo de destrezas personales; por ejemplo, capacidad de comportamiento, aptitudes intelectuales, capacidad organizativa, programas de orientación.</t>
  </si>
  <si>
    <t>Formación de personal docente y ciencias de la educación: todos los campos.</t>
  </si>
  <si>
    <t>Lenguas y culturas extranjeras: lenguas vivas o muertas y sus respectivas literaturas, estudios regionales interdisciplinarios.</t>
  </si>
  <si>
    <t>Lenguas autóctonas: lenguas corrientes o vernáculas y su literatura.</t>
  </si>
  <si>
    <t>Otros programas de humanidades: interpretación y traducción, lingüística, literatura comparada, historia, arqueología, filosofía, ética.</t>
  </si>
  <si>
    <t>Ciencias sociales y del comportamiento: economía, historia de la economía, ciencias políticas, sociología, demografía, antropología (excepto antropología física), etnología, futurología, psicología, geografía (excepto geografía física), estudios sobre paz y conflictos, derechos humanos.</t>
  </si>
  <si>
    <t>Ciencias de la vida: biología, botánica, bacteriología, toxicología, microbiología, zoología, entomología, ornitología, genética, bioquímica, biofísica y otras ciencias afines.</t>
  </si>
  <si>
    <t>Ciencias físicas: astronomía y ciencias espaciales, física y asignaturas afines, química y asignaturas afines, geología, geofísica, mineralogía, antropología física, geografía física y demás ciencias de la tierra, meteorología y demás ciencias de la atmósfera, comprendida la investigación sobre el clima, las ciencias marinas, vulcanología, paleoecología.</t>
  </si>
  <si>
    <t>Matemáticas y estadística: matemáticas, investigación de operaciones, análisis numérico, ciencias actuariales, estadística y otros sectores afines.</t>
  </si>
  <si>
    <t>Informática: concepción de sistemas, programación informática, procesamiento de datos, redes, sistemas operativos. Elaboración de programas informáticos.</t>
  </si>
  <si>
    <t>Medicina: anatomía, epidemiología, citología, fisiología, inmunología e inmunohematología, patología, anestesiología, pediatría, obstetricia y ginecología, medicina interna, cirugía, neurología, psiquiatría, radiología, oftalmología.</t>
  </si>
  <si>
    <t>Bellas artes: dibujo, pintura y escultura.</t>
  </si>
  <si>
    <t>Artes del espectáculo: música, arte dramático, danza, circo.</t>
  </si>
  <si>
    <t>Artes gráficas y audiovisuales: fotografía, cinematografía, producción musical, producción de radio y televisión, impresión y publicación.</t>
  </si>
  <si>
    <t>Diseño: artesanía.</t>
  </si>
  <si>
    <t>Persona que prefiere las soluciones creativas; es original e independiente.</t>
  </si>
  <si>
    <t>Persona que trabaja con la teoría y la información; analítica, intelectual y científica.</t>
  </si>
  <si>
    <t>Persona que trabaja con las manos, con herramientas, máquinas y cosas; persona práctica, inclinada a la mecánica y la física.</t>
  </si>
  <si>
    <t>Persona que apoya, cuida, encargada de la comunicación, educación y cooperación.</t>
  </si>
  <si>
    <t>Periodismo e información: periodismo, bibliotecología y personal técnico de bibliotecas, personal técnico de museos y establecimientos similares; técnicas de documentación; archivología.</t>
  </si>
  <si>
    <t>Educación comercial y administración: comercio al por menor, comercialización, ventas, relaciones públicas, asuntos inmobiliarios; gestión financiera, administración bancaria, seguros, análisis de inversiones; contabilidad, auditoría, teneduría de libros; gestión, administración pública, administración institucional, administración de personal; secretariado y trabajo de oficina.</t>
  </si>
  <si>
    <t>Servicios personales: hotelería y restaurantes, viajes y turismo, deportes y actividades recreativas, peluquería, tratamientos de belleza y otros servicios personales: lavandería y tintorería, servicios cosméticos, ciencias del hogar.</t>
  </si>
  <si>
    <t>Protección del medio ambiente: conservación, vigilancia y protección del medio ambiente, control de la contaminación atmosférica y del agua, ergonomía y seguridad.</t>
  </si>
  <si>
    <t>Servicios de seguridad: protección de personas y bienes: servicios de policía y orden público, criminología, prevención y extinción de incendios, seguridad civil, educación militar.</t>
  </si>
  <si>
    <t>Servicios médicos: servicios de salud pública, higiene, farmacia, farmacología, terapéutica, rehabilitación, prótesis, optometría, nutrición.</t>
  </si>
  <si>
    <t>Enfermería: enfermería básica, partería Servicios dentales: auxiliar de odontología, higienista dental, técnico de laboratorio dental, odontología.</t>
  </si>
  <si>
    <t>Asistencia social: asistencia a minusválidos, asistencia a la infancia, servicios para jóvenes, servicios de gerontología; trabajo social: orientación, asistencia social.</t>
  </si>
  <si>
    <t>Derecho: magistrados locales, notarios, derecho (general, internacional, laboral, marítimo, etcétera), jurisprudencia, historia del derecho.</t>
  </si>
  <si>
    <t>Persona que trabaja en entornos competitivos, lo que le lleva a: persuadir, vender, gestionar, promocionar.</t>
  </si>
  <si>
    <t>Persona metódica, ordenada, precisa, que cuida con atención a los detalles. Se enfoca al ámbito de la organización.</t>
  </si>
  <si>
    <t>CONGRUENCIA</t>
  </si>
  <si>
    <t>10º EGB</t>
  </si>
  <si>
    <t>MINEDUC - INVENTARIO DE PREFERENCIAS PROFESIONALES PARA JÓVENES</t>
  </si>
  <si>
    <t>REALISTA</t>
  </si>
  <si>
    <t>INVESTIGATIVA</t>
  </si>
  <si>
    <t>ARTÍSTICA</t>
  </si>
  <si>
    <t>SOCIAL</t>
  </si>
  <si>
    <t>EMPRENDEDORA</t>
  </si>
  <si>
    <t>CONVENCIONAL</t>
  </si>
  <si>
    <t>RECOMENDACIONES</t>
  </si>
  <si>
    <t>III. ANÁLISIS GLOBAL DE RESULTADOS DEL IPPJ</t>
  </si>
  <si>
    <t>NOMBRES Y APELLIDOS</t>
  </si>
  <si>
    <t>LUGAR Y FECHA DE EVALUACIÓN</t>
  </si>
  <si>
    <t>FIRMA DE RESPONSABILIDAD</t>
  </si>
  <si>
    <t>IV. DATOS PROFESIONAL DECE</t>
  </si>
  <si>
    <t>V. TABLA: TIPO PROFESIONAL Y CLASIFICACIÓN INTERNACIONAL NORMALIZADA DE LA EDUCACIÓN (CINE)</t>
  </si>
  <si>
    <t>OTRO</t>
  </si>
  <si>
    <t>¿Cuál es el nivel de estudios de tu madre o cuidadora principal?</t>
  </si>
  <si>
    <t>¿Cuál es el nivel de estudios de tu padre o cuidador principal?</t>
  </si>
  <si>
    <t>¿Qué profesión ejerce tu madre o cuidadora principal?</t>
  </si>
  <si>
    <t>¿Qué profesión ejerce tu padre o cuidador principal?</t>
  </si>
  <si>
    <r>
      <t xml:space="preserve">¿Cuáles son tus tres profesiones de </t>
    </r>
    <r>
      <rPr>
        <b/>
        <sz val="11"/>
        <color theme="1"/>
        <rFont val="Berlin Sans FB"/>
        <family val="2"/>
      </rPr>
      <t>mayor</t>
    </r>
    <r>
      <rPr>
        <sz val="11"/>
        <color theme="1"/>
        <rFont val="Berlin Sans FB"/>
        <family val="2"/>
      </rPr>
      <t xml:space="preserve"> preferencia? Escríbelas en orden de preferencia:</t>
    </r>
  </si>
  <si>
    <r>
      <t xml:space="preserve">¿Cuáles son las tres profesiones de </t>
    </r>
    <r>
      <rPr>
        <b/>
        <sz val="11"/>
        <color theme="1"/>
        <rFont val="Berlin Sans FB"/>
        <family val="2"/>
      </rPr>
      <t>menor</t>
    </r>
    <r>
      <rPr>
        <sz val="11"/>
        <color theme="1"/>
        <rFont val="Berlin Sans FB"/>
        <family val="2"/>
      </rPr>
      <t xml:space="preserve"> preferencia? Escríbelas en orden:</t>
    </r>
  </si>
  <si>
    <r>
      <t xml:space="preserve">NOTA DE DESCARGO: </t>
    </r>
    <r>
      <rPr>
        <sz val="10"/>
        <color theme="1"/>
        <rFont val="Berlin Sans FB"/>
        <family val="2"/>
      </rPr>
      <t xml:space="preserve">La presente es una adaptación virtual del test “Inventario de Preferencias Profesionales para Jóvenes", en su versión editada por el Ministerio de Educación del Ecuador, la misma que se basa en el test elaborado por Ph. D. Mariusz Wołońciej. </t>
    </r>
  </si>
  <si>
    <t>ITEM</t>
  </si>
  <si>
    <t xml:space="preserve">JARAMILLO CAICEDO </t>
  </si>
  <si>
    <t>RUBÉN PATRICIO</t>
  </si>
  <si>
    <t>MEDICINA</t>
  </si>
  <si>
    <t>SISTEMAS</t>
  </si>
  <si>
    <t>ELECTRICIDAD</t>
  </si>
  <si>
    <t>EDUCACION</t>
  </si>
  <si>
    <t>PSICOLOGIA</t>
  </si>
  <si>
    <t>EDUCACION FISICA</t>
  </si>
  <si>
    <t>CAJERA</t>
  </si>
  <si>
    <t>PERIODISTA</t>
  </si>
  <si>
    <t>NADA</t>
  </si>
  <si>
    <t>JUEGOS</t>
  </si>
  <si>
    <t>FORNITE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</si>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</sst>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6"/>
      <color theme="1"/>
      <name val="Calibri"/>
      <family val="2"/>
      <scheme val="minor"/>
    </font>
    <font>
      <sz val="11"/>
      <color theme="1"/>
      <name val="Berlin Sans FB Demi"/>
      <family val="2"/>
    </font>
    <font>
      <sz val="11"/>
      <color theme="1"/>
      <name val="Berlin Sans FB"/>
      <family val="2"/>
    </font>
    <font>
      <b/>
      <sz val="11"/>
      <color theme="1"/>
      <name val="Berlin Sans FB"/>
      <family val="2"/>
    </font>
    <font>
      <b/>
      <sz val="24"/>
      <color theme="0"/>
      <name val="Aharoni"/>
      <charset val="177"/>
    </font>
    <font>
      <b/>
      <sz val="16"/>
      <color theme="0"/>
      <name val="Aharoni"/>
      <charset val="177"/>
    </font>
    <font>
      <b/>
      <i/>
      <sz val="16"/>
      <color theme="0"/>
      <name val="Aharoni"/>
      <charset val="177"/>
    </font>
    <font>
      <sz val="10"/>
      <color theme="1"/>
      <name val="Berlin Sans FB"/>
      <family val="2"/>
    </font>
    <font>
      <sz val="18"/>
      <color theme="1"/>
      <name val="Berlin Sans FB"/>
      <family val="2"/>
    </font>
    <font>
      <sz val="12"/>
      <color theme="1"/>
      <name val="Berlin Sans FB Demi"/>
      <family val="2"/>
    </font>
    <font>
      <b/>
      <sz val="14"/>
      <color theme="0"/>
      <name val="Aharoni"/>
      <charset val="177"/>
    </font>
    <font>
      <b/>
      <sz val="18"/>
      <color theme="0"/>
      <name val="Aharoni"/>
      <charset val="177"/>
    </font>
    <font>
      <b/>
      <sz val="14"/>
      <name val="Aharoni"/>
      <charset val="177"/>
    </font>
    <font>
      <sz val="10"/>
      <color theme="1"/>
      <name val="Berlin Sans FB Demi"/>
      <family val="2"/>
    </font>
  </fonts>
  <fills count="13">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D7E5F5"/>
        <bgColor indexed="64"/>
      </patternFill>
    </fill>
    <fill>
      <patternFill patternType="solid">
        <fgColor rgb="FF00B0F0"/>
        <bgColor indexed="64"/>
      </patternFill>
    </fill>
    <fill>
      <patternFill patternType="solid">
        <fgColor rgb="FF93E3FF"/>
        <bgColor indexed="64"/>
      </patternFill>
    </fill>
    <fill>
      <patternFill patternType="solid">
        <fgColor rgb="FFB7ECFF"/>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95">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xf>
    <xf numFmtId="0" fontId="0" fillId="0" borderId="0" xfId="0" applyAlignment="1">
      <alignment horizontal="left"/>
    </xf>
    <xf numFmtId="0" fontId="1" fillId="0" borderId="0" xfId="0" applyFont="1"/>
    <xf numFmtId="0" fontId="2" fillId="0" borderId="0" xfId="0" applyFont="1" applyAlignment="1">
      <alignment vertical="center"/>
    </xf>
    <xf numFmtId="49" fontId="0" fillId="0" borderId="0" xfId="0" applyNumberFormat="1"/>
    <xf numFmtId="49" fontId="1" fillId="0" borderId="0" xfId="0" applyNumberFormat="1" applyFont="1"/>
    <xf numFmtId="14" fontId="0" fillId="0" borderId="0" xfId="0" applyNumberFormat="1"/>
    <xf numFmtId="0" fontId="1" fillId="0" borderId="0" xfId="0" applyFont="1" applyAlignment="1">
      <alignment horizontal="center" vertical="center"/>
    </xf>
    <xf numFmtId="0" fontId="0" fillId="0" borderId="0" xfId="0" applyAlignment="1">
      <alignment horizontal="left" vertical="center" wrapText="1"/>
    </xf>
    <xf numFmtId="0" fontId="4" fillId="3" borderId="0" xfId="0" applyFont="1" applyFill="1"/>
    <xf numFmtId="0" fontId="4" fillId="0" borderId="0" xfId="0" applyFont="1"/>
    <xf numFmtId="0" fontId="4" fillId="3" borderId="4" xfId="0" applyFont="1" applyFill="1" applyBorder="1"/>
    <xf numFmtId="0" fontId="4" fillId="3" borderId="2" xfId="0" applyFont="1" applyFill="1" applyBorder="1"/>
    <xf numFmtId="0" fontId="4" fillId="0" borderId="0" xfId="0" applyFont="1" applyAlignment="1">
      <alignment horizontal="left" vertical="center" wrapText="1"/>
    </xf>
    <xf numFmtId="0" fontId="4" fillId="0" borderId="0" xfId="0" applyFont="1" applyAlignment="1">
      <alignment horizontal="left" wrapText="1"/>
    </xf>
    <xf numFmtId="0" fontId="4" fillId="7" borderId="0" xfId="0" applyFont="1" applyFill="1"/>
    <xf numFmtId="49" fontId="4" fillId="3" borderId="0" xfId="0" applyNumberFormat="1" applyFont="1" applyFill="1" applyProtection="1">
      <protection locked="0"/>
    </xf>
    <xf numFmtId="0" fontId="4" fillId="3" borderId="0" xfId="0" applyFont="1" applyFill="1" applyProtection="1">
      <protection locked="0"/>
    </xf>
    <xf numFmtId="1" fontId="4" fillId="3" borderId="0" xfId="0" applyNumberFormat="1" applyFont="1" applyFill="1" applyAlignment="1" applyProtection="1">
      <alignment horizontal="left"/>
      <protection locked="0"/>
    </xf>
    <xf numFmtId="14" fontId="4" fillId="3" borderId="0" xfId="0" applyNumberFormat="1" applyFont="1" applyFill="1" applyAlignment="1" applyProtection="1">
      <alignment horizontal="left"/>
      <protection locked="0"/>
    </xf>
    <xf numFmtId="14" fontId="4" fillId="0" borderId="0" xfId="0" applyNumberFormat="1" applyFont="1" applyAlignment="1">
      <alignment horizontal="left"/>
    </xf>
    <xf numFmtId="0" fontId="4" fillId="0" borderId="0" xfId="0" applyFont="1" applyAlignment="1">
      <alignment horizontal="center"/>
    </xf>
    <xf numFmtId="0" fontId="12" fillId="10" borderId="0" xfId="0" applyFont="1" applyFill="1" applyAlignment="1">
      <alignment horizontal="center"/>
    </xf>
    <xf numFmtId="0" fontId="7" fillId="10" borderId="0" xfId="0" applyFont="1" applyFill="1" applyAlignment="1">
      <alignment horizontal="center"/>
    </xf>
    <xf numFmtId="0" fontId="7" fillId="10" borderId="0" xfId="0" applyFont="1" applyFill="1" applyAlignment="1">
      <alignment horizontal="center" wrapText="1"/>
    </xf>
    <xf numFmtId="0" fontId="7" fillId="1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vertical="center"/>
    </xf>
    <xf numFmtId="0" fontId="4" fillId="3" borderId="0" xfId="0" applyFont="1" applyFill="1" applyAlignment="1">
      <alignment horizontal="center" vertical="center"/>
    </xf>
    <xf numFmtId="0" fontId="4" fillId="0" borderId="0" xfId="0" applyFont="1" applyAlignment="1">
      <alignment wrapText="1"/>
    </xf>
    <xf numFmtId="0" fontId="4" fillId="11" borderId="0" xfId="0" applyFont="1" applyFill="1"/>
    <xf numFmtId="0" fontId="4" fillId="12" borderId="0" xfId="0" applyFont="1" applyFill="1" applyAlignment="1">
      <alignment horizontal="center" vertical="center"/>
    </xf>
    <xf numFmtId="0" fontId="4" fillId="12" borderId="0" xfId="0" applyFont="1" applyFill="1" applyAlignment="1">
      <alignment vertical="center" wrapText="1"/>
    </xf>
    <xf numFmtId="0" fontId="4" fillId="12" borderId="0" xfId="0" applyFont="1" applyFill="1" applyAlignment="1">
      <alignment vertical="center"/>
    </xf>
    <xf numFmtId="0" fontId="4" fillId="12" borderId="0" xfId="0" applyFont="1" applyFill="1"/>
    <xf numFmtId="14" fontId="4" fillId="0" borderId="0" xfId="0" applyNumberFormat="1" applyFont="1"/>
    <xf numFmtId="0" fontId="4" fillId="0" borderId="0" xfId="0" applyFont="1" applyAlignment="1">
      <alignment horizontal="right"/>
    </xf>
    <xf numFmtId="0" fontId="4" fillId="6" borderId="0" xfId="0" applyFont="1" applyFill="1" applyAlignment="1">
      <alignment horizontal="center" vertical="center"/>
    </xf>
    <xf numFmtId="0" fontId="4" fillId="5" borderId="0" xfId="0" applyFont="1" applyFill="1"/>
    <xf numFmtId="0" fontId="4" fillId="3" borderId="0" xfId="0" applyFont="1" applyFill="1" applyAlignment="1">
      <alignment horizontal="center"/>
    </xf>
    <xf numFmtId="0" fontId="4" fillId="6" borderId="0" xfId="0" applyFont="1" applyFill="1" applyAlignment="1">
      <alignment horizontal="center"/>
    </xf>
    <xf numFmtId="0" fontId="15" fillId="5" borderId="0" xfId="0" applyFont="1" applyFill="1" applyAlignment="1">
      <alignment horizontal="center" vertical="center"/>
    </xf>
    <xf numFmtId="0" fontId="4" fillId="11" borderId="0" xfId="0" applyFont="1" applyFill="1" applyAlignment="1">
      <alignment horizontal="left"/>
    </xf>
    <xf numFmtId="0" fontId="4" fillId="11" borderId="0" xfId="0" applyFont="1" applyFill="1" applyAlignment="1">
      <alignment horizontal="center"/>
    </xf>
    <xf numFmtId="0" fontId="4" fillId="7" borderId="0" xfId="0" applyFont="1" applyFill="1" applyAlignment="1">
      <alignment horizontal="center"/>
    </xf>
    <xf numFmtId="0" fontId="4" fillId="7" borderId="0" xfId="0" applyFont="1" applyFill="1" applyAlignment="1">
      <alignment horizontal="left" wrapText="1"/>
    </xf>
    <xf numFmtId="0" fontId="4" fillId="2" borderId="0" xfId="0" applyFont="1" applyFill="1" applyAlignment="1">
      <alignment horizontal="left"/>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0" fillId="0" borderId="0" xfId="0" applyFont="1" applyAlignment="1">
      <alignment horizontal="center" wrapText="1"/>
    </xf>
    <xf numFmtId="0" fontId="3" fillId="7" borderId="0" xfId="0" applyFont="1" applyFill="1" applyAlignment="1">
      <alignment horizontal="center"/>
    </xf>
    <xf numFmtId="0" fontId="3" fillId="4" borderId="0" xfId="0" applyFont="1" applyFill="1" applyAlignment="1">
      <alignment horizontal="center"/>
    </xf>
    <xf numFmtId="0" fontId="4" fillId="7" borderId="0" xfId="0" applyFont="1" applyFill="1" applyAlignment="1">
      <alignment horizontal="center"/>
    </xf>
    <xf numFmtId="0" fontId="4" fillId="0" borderId="0" xfId="0" applyFont="1" applyAlignment="1">
      <alignment horizontal="left"/>
    </xf>
    <xf numFmtId="0" fontId="11" fillId="0" borderId="0" xfId="0" applyFont="1" applyAlignment="1">
      <alignment horizontal="left"/>
    </xf>
    <xf numFmtId="0" fontId="4" fillId="7" borderId="0" xfId="0" applyFont="1" applyFill="1" applyAlignment="1">
      <alignment horizontal="left"/>
    </xf>
    <xf numFmtId="0" fontId="7" fillId="10" borderId="0" xfId="0" applyFont="1" applyFill="1" applyAlignment="1">
      <alignment horizontal="center" readingOrder="2"/>
    </xf>
    <xf numFmtId="0" fontId="8" fillId="10" borderId="0" xfId="0" applyFont="1" applyFill="1" applyAlignment="1">
      <alignment horizontal="center" readingOrder="2"/>
    </xf>
    <xf numFmtId="0" fontId="4" fillId="3" borderId="4" xfId="0" applyFont="1" applyFill="1" applyBorder="1" applyAlignment="1">
      <alignment horizontal="center"/>
    </xf>
    <xf numFmtId="0" fontId="4" fillId="3" borderId="2" xfId="0" applyFont="1" applyFill="1" applyBorder="1" applyAlignment="1">
      <alignment horizontal="center"/>
    </xf>
    <xf numFmtId="0" fontId="6" fillId="10" borderId="0" xfId="0" applyFont="1" applyFill="1" applyAlignment="1">
      <alignment horizontal="center"/>
    </xf>
    <xf numFmtId="0" fontId="1" fillId="5" borderId="0" xfId="0" applyFont="1" applyFill="1" applyAlignment="1">
      <alignment horizontal="center" vertical="center"/>
    </xf>
    <xf numFmtId="0" fontId="1" fillId="0" borderId="4" xfId="0" applyFont="1" applyBorder="1" applyAlignment="1">
      <alignment horizontal="center"/>
    </xf>
    <xf numFmtId="0" fontId="14" fillId="11" borderId="0" xfId="0" applyFont="1" applyFill="1" applyAlignment="1">
      <alignment horizontal="center" wrapText="1"/>
    </xf>
    <xf numFmtId="0" fontId="15" fillId="5" borderId="0" xfId="0" applyFont="1" applyFill="1" applyAlignment="1">
      <alignment horizontal="center" vertical="center" wrapText="1"/>
    </xf>
    <xf numFmtId="0" fontId="3" fillId="5" borderId="0" xfId="0" applyFont="1" applyFill="1" applyAlignment="1">
      <alignment horizontal="center"/>
    </xf>
    <xf numFmtId="0" fontId="5" fillId="0" borderId="4" xfId="0" applyFont="1" applyBorder="1" applyAlignment="1">
      <alignment horizontal="center"/>
    </xf>
    <xf numFmtId="0" fontId="14" fillId="11" borderId="0" xfId="0" applyFont="1" applyFill="1" applyAlignment="1">
      <alignment horizontal="center"/>
    </xf>
    <xf numFmtId="0" fontId="1" fillId="5" borderId="0" xfId="0" applyFont="1" applyFill="1" applyAlignment="1">
      <alignment horizontal="center"/>
    </xf>
    <xf numFmtId="0" fontId="4" fillId="12" borderId="0" xfId="0" applyFont="1" applyFill="1" applyAlignment="1">
      <alignment horizontal="left" vertical="center" wrapText="1"/>
    </xf>
    <xf numFmtId="0" fontId="9" fillId="12" borderId="0" xfId="0" applyFont="1" applyFill="1" applyAlignment="1">
      <alignment horizontal="center" vertical="center" wrapText="1"/>
    </xf>
    <xf numFmtId="0" fontId="9" fillId="8" borderId="0" xfId="0" applyFont="1" applyFill="1" applyAlignment="1">
      <alignment horizontal="left" vertical="center" wrapText="1"/>
    </xf>
    <xf numFmtId="0" fontId="9" fillId="3" borderId="0" xfId="0" applyFont="1" applyFill="1" applyAlignment="1">
      <alignment horizontal="left" vertical="center" wrapText="1"/>
    </xf>
    <xf numFmtId="0" fontId="9" fillId="8" borderId="0" xfId="0" applyFont="1" applyFill="1" applyAlignment="1">
      <alignment horizontal="center" vertical="center" wrapText="1"/>
    </xf>
    <xf numFmtId="0" fontId="9" fillId="6" borderId="0" xfId="0" applyFont="1" applyFill="1" applyAlignment="1">
      <alignment horizontal="left" vertical="center" wrapText="1"/>
    </xf>
    <xf numFmtId="0" fontId="9" fillId="9" borderId="0" xfId="0" applyFont="1" applyFill="1" applyAlignment="1">
      <alignment horizontal="left" vertical="center" wrapText="1"/>
    </xf>
    <xf numFmtId="0" fontId="9" fillId="6" borderId="0" xfId="0" applyFont="1" applyFill="1" applyAlignment="1">
      <alignment horizontal="left" wrapText="1"/>
    </xf>
    <xf numFmtId="0" fontId="9" fillId="9" borderId="0" xfId="0" applyFont="1" applyFill="1" applyAlignment="1">
      <alignment horizontal="left" wrapText="1"/>
    </xf>
    <xf numFmtId="0" fontId="15" fillId="11" borderId="0" xfId="0" applyFont="1" applyFill="1" applyAlignment="1">
      <alignment horizontal="center" vertical="center"/>
    </xf>
    <xf numFmtId="0" fontId="15" fillId="7" borderId="0" xfId="0" applyFont="1" applyFill="1" applyAlignment="1">
      <alignment horizontal="center" vertical="center"/>
    </xf>
    <xf numFmtId="0" fontId="9" fillId="8" borderId="0" xfId="0" applyFont="1" applyFill="1" applyAlignment="1">
      <alignment horizontal="left" wrapText="1"/>
    </xf>
    <xf numFmtId="0" fontId="9" fillId="3" borderId="0" xfId="0" applyFont="1" applyFill="1" applyAlignment="1">
      <alignment horizontal="left" wrapText="1"/>
    </xf>
    <xf numFmtId="0" fontId="4" fillId="12" borderId="0" xfId="0" applyFont="1" applyFill="1" applyAlignment="1">
      <alignment horizontal="center"/>
    </xf>
    <xf numFmtId="0" fontId="4" fillId="0" borderId="0" xfId="0" applyFont="1" applyAlignment="1">
      <alignment horizontal="center"/>
    </xf>
    <xf numFmtId="0" fontId="4" fillId="3" borderId="0" xfId="0" applyFont="1" applyFill="1" applyAlignment="1">
      <alignment horizontal="center"/>
    </xf>
    <xf numFmtId="0" fontId="4" fillId="6" borderId="0" xfId="0" applyFont="1" applyFill="1" applyAlignment="1">
      <alignment horizontal="center"/>
    </xf>
    <xf numFmtId="0" fontId="4" fillId="7" borderId="0" xfId="0" applyFont="1" applyFill="1" applyAlignment="1">
      <alignment horizontal="left" vertical="center" wrapText="1"/>
    </xf>
    <xf numFmtId="0" fontId="13" fillId="10" borderId="0" xfId="0" applyFont="1" applyFill="1" applyAlignment="1">
      <alignment horizontal="center" vertical="center"/>
    </xf>
    <xf numFmtId="0" fontId="4" fillId="0" borderId="0" xfId="0" applyFont="1" applyAlignment="1">
      <alignment horizontal="right"/>
    </xf>
    <xf numFmtId="49" fontId="4" fillId="0" borderId="0" xfId="0" applyNumberFormat="1" applyFont="1" applyAlignment="1">
      <alignment horizontal="center"/>
    </xf>
  </cellXfs>
  <cellStyles count="1">
    <cellStyle name="Normal" xfId="0" builtinId="0"/>
  </cellStyles>
  <dxfs count="0"/>
  <tableStyles count="0" defaultTableStyle="TableStyleMedium9" defaultPivotStyle="PivotStyleLight16"/>
  <colors>
    <mruColors>
      <color rgb="FF93E3FF"/>
      <color rgb="FFB7ECFF"/>
      <color rgb="FFD7E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a:lstStyle/>
          <a:p>
            <a:pPr>
              <a:defRPr/>
            </a:pPr>
            <a:r>
              <a:rPr lang="es-ES">
                <a:latin typeface="Aharoni" panose="02010803020104030203" pitchFamily="2" charset="-79"/>
                <a:cs typeface="Aharoni" panose="02010803020104030203" pitchFamily="2" charset="-79"/>
              </a:rPr>
              <a:t>Resultados del Test</a:t>
            </a:r>
          </a:p>
        </c:rich>
      </c:tx>
      <c:overlay val="0"/>
    </c:title>
    <c:autoTitleDeleted val="0"/>
    <c:plotArea>
      <c:layout/>
      <c:radarChart>
        <c:radarStyle val="marker"/>
        <c:varyColors val="0"/>
        <c:ser>
          <c:idx val="0"/>
          <c:order val="0"/>
          <c:cat>
            <c:strRef>
              <c:f>RESULTADOS!$B$24:$B$29</c:f>
              <c:strCache>
                <c:ptCount val="6"/>
                <c:pt idx="0">
                  <c:v>REALISTA </c:v>
                </c:pt>
                <c:pt idx="1">
                  <c:v>INVESTIGADORA </c:v>
                </c:pt>
                <c:pt idx="2">
                  <c:v>ARTISTICA </c:v>
                </c:pt>
                <c:pt idx="3">
                  <c:v>SOCIAL </c:v>
                </c:pt>
                <c:pt idx="4">
                  <c:v>EMPRENDEDORA </c:v>
                </c:pt>
                <c:pt idx="5">
                  <c:v>CONVENCIONAL </c:v>
                </c:pt>
              </c:strCache>
            </c:strRef>
          </c:cat>
          <c:val>
            <c:numRef>
              <c:f>RESULTADOS!$C$24:$C$29</c:f>
              <c:numCache>
                <c:formatCode>General</c:formatCode>
                <c:ptCount val="6"/>
                <c:pt idx="0">
                  <c:v>3</c:v>
                </c:pt>
                <c:pt idx="1">
                  <c:v>2</c:v>
                </c:pt>
                <c:pt idx="2">
                  <c:v>2</c:v>
                </c:pt>
                <c:pt idx="3">
                  <c:v>4</c:v>
                </c:pt>
                <c:pt idx="4">
                  <c:v>1</c:v>
                </c:pt>
                <c:pt idx="5">
                  <c:v>3</c:v>
                </c:pt>
              </c:numCache>
            </c:numRef>
          </c:val>
          <c:extLst>
            <c:ext xmlns:c16="http://schemas.microsoft.com/office/drawing/2014/chart" uri="{C3380CC4-5D6E-409C-BE32-E72D297353CC}">
              <c16:uniqueId val="{00000000-76BE-4441-97D2-8C38F5375DB5}"/>
            </c:ext>
          </c:extLst>
        </c:ser>
        <c:dLbls>
          <c:showLegendKey val="0"/>
          <c:showVal val="0"/>
          <c:showCatName val="0"/>
          <c:showSerName val="0"/>
          <c:showPercent val="0"/>
          <c:showBubbleSize val="0"/>
        </c:dLbls>
        <c:axId val="1884044336"/>
        <c:axId val="1884037808"/>
      </c:radarChart>
      <c:catAx>
        <c:axId val="1884044336"/>
        <c:scaling>
          <c:orientation val="minMax"/>
        </c:scaling>
        <c:delete val="0"/>
        <c:axPos val="b"/>
        <c:majorGridlines/>
        <c:numFmt formatCode="General" sourceLinked="0"/>
        <c:majorTickMark val="none"/>
        <c:minorTickMark val="none"/>
        <c:tickLblPos val="nextTo"/>
        <c:txPr>
          <a:bodyPr/>
          <a:lstStyle/>
          <a:p>
            <a:pPr>
              <a:defRPr>
                <a:latin typeface="Berlin Sans FB" panose="020E0602020502020306" pitchFamily="34" charset="0"/>
              </a:defRPr>
            </a:pPr>
            <a:endParaRPr lang="es-US"/>
          </a:p>
        </c:txPr>
        <c:crossAx val="1884037808"/>
        <c:crosses val="autoZero"/>
        <c:auto val="1"/>
        <c:lblAlgn val="ctr"/>
        <c:lblOffset val="100"/>
        <c:noMultiLvlLbl val="0"/>
      </c:catAx>
      <c:valAx>
        <c:axId val="1884037808"/>
        <c:scaling>
          <c:orientation val="minMax"/>
        </c:scaling>
        <c:delete val="0"/>
        <c:axPos val="l"/>
        <c:majorGridlines/>
        <c:numFmt formatCode="General" sourceLinked="1"/>
        <c:majorTickMark val="none"/>
        <c:minorTickMark val="none"/>
        <c:tickLblPos val="nextTo"/>
        <c:crossAx val="1884044336"/>
        <c:crosses val="autoZero"/>
        <c:crossBetween val="between"/>
      </c:valAx>
    </c:plotArea>
    <c:legend>
      <c:legendPos val="r"/>
      <c:overlay val="0"/>
      <c:txPr>
        <a:bodyPr/>
        <a:lstStyle/>
        <a:p>
          <a:pPr>
            <a:defRPr>
              <a:latin typeface="Berlin Sans FB" panose="020E0602020502020306" pitchFamily="34" charset="0"/>
            </a:defRPr>
          </a:pPr>
          <a:endParaRPr lang="es-US"/>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0</xdr:row>
      <xdr:rowOff>190500</xdr:rowOff>
    </xdr:from>
    <xdr:to>
      <xdr:col>3</xdr:col>
      <xdr:colOff>1003935</xdr:colOff>
      <xdr:row>0</xdr:row>
      <xdr:rowOff>813435</xdr:rowOff>
    </xdr:to>
    <xdr:pic>
      <xdr:nvPicPr>
        <xdr:cNvPr id="2" name="Imagen 1" descr="http://www.educacion.gob.ec/images/stories/Logo_Nuevo.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190500"/>
          <a:ext cx="1927860" cy="622935"/>
        </a:xfrm>
        <a:prstGeom prst="rect">
          <a:avLst/>
        </a:prstGeom>
        <a:noFill/>
        <a:ln>
          <a:noFill/>
        </a:ln>
      </xdr:spPr>
    </xdr:pic>
    <xdr:clientData/>
  </xdr:twoCellAnchor>
  <xdr:twoCellAnchor editAs="oneCell">
    <xdr:from>
      <xdr:col>3</xdr:col>
      <xdr:colOff>5429250</xdr:colOff>
      <xdr:row>0</xdr:row>
      <xdr:rowOff>152401</xdr:rowOff>
    </xdr:from>
    <xdr:to>
      <xdr:col>9</xdr:col>
      <xdr:colOff>135891</xdr:colOff>
      <xdr:row>0</xdr:row>
      <xdr:rowOff>880111</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152401"/>
          <a:ext cx="1983741" cy="72771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333375</xdr:colOff>
      <xdr:row>21</xdr:row>
      <xdr:rowOff>57150</xdr:rowOff>
    </xdr:from>
    <xdr:to>
      <xdr:col>8</xdr:col>
      <xdr:colOff>0</xdr:colOff>
      <xdr:row>35</xdr:row>
      <xdr:rowOff>152400</xdr:rowOff>
    </xdr:to>
    <xdr:graphicFrame macro="">
      <xdr:nvGraphicFramePr>
        <xdr:cNvPr id="2" name="1 Gráfico">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57150</xdr:colOff>
      <xdr:row>1</xdr:row>
      <xdr:rowOff>57151</xdr:rowOff>
    </xdr:from>
    <xdr:to>
      <xdr:col>2</xdr:col>
      <xdr:colOff>644443</xdr:colOff>
      <xdr:row>3</xdr:row>
      <xdr:rowOff>185602</xdr:rowOff>
    </xdr:to>
    <xdr:pic>
      <xdr:nvPicPr>
        <xdr:cNvPr id="8" name="Imagen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2"/>
        <a:stretch>
          <a:fillRect/>
        </a:stretch>
      </xdr:blipFill>
      <xdr:spPr>
        <a:xfrm>
          <a:off x="400050" y="247651"/>
          <a:ext cx="1682668" cy="61422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048551"/>
  <sheetViews>
    <sheetView showGridLines="0" topLeftCell="A14" zoomScaleNormal="100" workbookViewId="0">
      <selection activeCell="D38" sqref="D38"/>
    </sheetView>
  </sheetViews>
  <sheetFormatPr baseColWidth="10" defaultColWidth="10.7109375" defaultRowHeight="15" x14ac:dyDescent="0.25"/>
  <cols>
    <col min="1" max="1" width="3.28515625" customWidth="1"/>
    <col min="2" max="2" width="3.42578125" style="13" customWidth="1"/>
    <col min="3" max="3" width="13.28515625" style="13" customWidth="1"/>
    <col min="4" max="4" width="84.140625" style="13" customWidth="1"/>
    <col min="5" max="10" width="5" style="13" customWidth="1"/>
    <col min="11" max="11" width="11.42578125" style="13" customWidth="1"/>
    <col min="12" max="16380" width="11.42578125" style="13"/>
    <col min="16381" max="16381" width="30.28515625" style="13" bestFit="1" customWidth="1"/>
    <col min="16382" max="16384" width="11.42578125" style="13"/>
  </cols>
  <sheetData>
    <row r="1" spans="2:10" customFormat="1" ht="88.5" customHeight="1" x14ac:dyDescent="0.25"/>
    <row r="2" spans="2:10" customFormat="1" x14ac:dyDescent="0.25">
      <c r="B2" s="61" t="s">
        <v>77</v>
      </c>
      <c r="C2" s="61"/>
      <c r="D2" s="61"/>
      <c r="E2" s="61"/>
      <c r="F2" s="61"/>
      <c r="G2" s="61"/>
      <c r="H2" s="61"/>
      <c r="I2" s="61"/>
      <c r="J2" s="61"/>
    </row>
    <row r="3" spans="2:10" customFormat="1" x14ac:dyDescent="0.25">
      <c r="B3" s="61"/>
      <c r="C3" s="61"/>
      <c r="D3" s="61"/>
      <c r="E3" s="61"/>
      <c r="F3" s="61"/>
      <c r="G3" s="61"/>
      <c r="H3" s="61"/>
      <c r="I3" s="61"/>
      <c r="J3" s="61"/>
    </row>
    <row r="4" spans="2:10" customFormat="1" x14ac:dyDescent="0.25">
      <c r="B4" s="62" t="s">
        <v>215</v>
      </c>
      <c r="C4" s="62"/>
      <c r="D4" s="62"/>
      <c r="E4" s="62"/>
      <c r="F4" s="62"/>
      <c r="G4" s="62"/>
      <c r="H4" s="62"/>
      <c r="I4" s="62"/>
      <c r="J4" s="62"/>
    </row>
    <row r="5" spans="2:10" customFormat="1" x14ac:dyDescent="0.25">
      <c r="B5" s="62"/>
      <c r="C5" s="62"/>
      <c r="D5" s="62"/>
      <c r="E5" s="62"/>
      <c r="F5" s="62"/>
      <c r="G5" s="62"/>
      <c r="H5" s="62"/>
      <c r="I5" s="62"/>
      <c r="J5" s="62"/>
    </row>
    <row r="6" spans="2:10" customFormat="1" x14ac:dyDescent="0.25"/>
    <row r="7" spans="2:10" customFormat="1" x14ac:dyDescent="0.25">
      <c r="B7" t="s">
        <v>131</v>
      </c>
    </row>
    <row r="8" spans="2:10" ht="18.75" customHeight="1" x14ac:dyDescent="0.25">
      <c r="B8" s="60" t="s">
        <v>133</v>
      </c>
      <c r="C8" s="60"/>
      <c r="D8" s="60"/>
      <c r="E8" s="60"/>
      <c r="F8" s="60"/>
      <c r="G8" s="60"/>
      <c r="H8" s="60"/>
      <c r="I8" s="60"/>
      <c r="J8" s="60"/>
    </row>
    <row r="9" spans="2:10" ht="18.75" customHeight="1" x14ac:dyDescent="0.25">
      <c r="B9" s="60" t="s">
        <v>127</v>
      </c>
      <c r="C9" s="60"/>
      <c r="D9" s="60"/>
      <c r="E9" s="60"/>
      <c r="F9" s="60"/>
      <c r="G9" s="60"/>
      <c r="H9" s="60"/>
      <c r="I9" s="60"/>
      <c r="J9" s="60"/>
    </row>
    <row r="10" spans="2:10" ht="18.75" customHeight="1" x14ac:dyDescent="0.25">
      <c r="B10" s="60" t="s">
        <v>132</v>
      </c>
      <c r="C10" s="60"/>
      <c r="D10" s="60"/>
      <c r="E10" s="60"/>
      <c r="F10" s="60"/>
      <c r="G10" s="60"/>
      <c r="H10" s="60"/>
      <c r="I10" s="60"/>
      <c r="J10" s="60"/>
    </row>
    <row r="11" spans="2:10" ht="18.75" customHeight="1" x14ac:dyDescent="0.25">
      <c r="B11" s="57" t="s">
        <v>59</v>
      </c>
      <c r="C11" s="57"/>
      <c r="D11" s="57"/>
      <c r="E11" s="57"/>
      <c r="F11" s="57"/>
      <c r="G11" s="57"/>
      <c r="H11" s="57"/>
      <c r="I11" s="57"/>
      <c r="J11" s="57"/>
    </row>
    <row r="12" spans="2:10" ht="15" customHeight="1" x14ac:dyDescent="0.25">
      <c r="B12" s="57" t="s">
        <v>128</v>
      </c>
      <c r="C12" s="57"/>
      <c r="D12" s="57"/>
      <c r="E12" s="57"/>
      <c r="F12" s="57"/>
      <c r="G12" s="57"/>
      <c r="H12" s="57"/>
      <c r="I12" s="57"/>
      <c r="J12" s="57"/>
    </row>
    <row r="13" spans="2:10" ht="15" customHeight="1" x14ac:dyDescent="0.25">
      <c r="B13" s="57" t="s">
        <v>129</v>
      </c>
      <c r="C13" s="57"/>
      <c r="D13" s="57"/>
      <c r="E13" s="57"/>
      <c r="F13" s="57"/>
      <c r="G13" s="57"/>
      <c r="H13" s="57"/>
      <c r="I13" s="57"/>
      <c r="J13" s="57"/>
    </row>
    <row r="14" spans="2:10" ht="15" customHeight="1" x14ac:dyDescent="0.25">
      <c r="B14" s="57" t="s">
        <v>130</v>
      </c>
      <c r="C14" s="57"/>
      <c r="D14" s="57"/>
      <c r="E14" s="57"/>
      <c r="F14" s="57"/>
      <c r="G14" s="57"/>
      <c r="H14" s="57"/>
      <c r="I14" s="57"/>
      <c r="J14" s="57"/>
    </row>
    <row r="15" spans="2:10" ht="15" customHeight="1" x14ac:dyDescent="0.25">
      <c r="B15" s="57" t="s">
        <v>63</v>
      </c>
      <c r="C15" s="57"/>
      <c r="D15" s="57"/>
      <c r="E15" s="57"/>
      <c r="F15" s="57"/>
      <c r="G15" s="57"/>
      <c r="H15" s="57"/>
      <c r="I15" s="57"/>
      <c r="J15" s="57"/>
    </row>
    <row r="16" spans="2:10" x14ac:dyDescent="0.25">
      <c r="B16" s="58"/>
      <c r="C16" s="58"/>
      <c r="D16" s="58"/>
      <c r="E16" s="58"/>
      <c r="F16" s="58"/>
      <c r="G16" s="58"/>
      <c r="H16" s="58"/>
      <c r="I16" s="58"/>
      <c r="J16" s="58"/>
    </row>
    <row r="17" spans="2:10" ht="15.75" x14ac:dyDescent="0.25">
      <c r="B17" s="59" t="s">
        <v>78</v>
      </c>
      <c r="C17" s="59"/>
      <c r="D17" s="59"/>
      <c r="E17" s="59"/>
      <c r="F17" s="59"/>
      <c r="G17" s="59"/>
      <c r="H17" s="59"/>
      <c r="I17" s="59"/>
      <c r="J17" s="59"/>
    </row>
    <row r="18" spans="2:10" x14ac:dyDescent="0.25">
      <c r="B18" s="58"/>
      <c r="C18" s="58"/>
      <c r="D18" s="58"/>
      <c r="E18" s="58"/>
      <c r="F18" s="58"/>
      <c r="G18" s="58"/>
      <c r="H18" s="58"/>
      <c r="I18" s="58"/>
      <c r="J18" s="58"/>
    </row>
    <row r="19" spans="2:10" ht="18.75" customHeight="1" x14ac:dyDescent="0.25">
      <c r="B19" s="60" t="s">
        <v>79</v>
      </c>
      <c r="C19" s="60"/>
      <c r="D19" s="60"/>
      <c r="E19" s="60"/>
      <c r="F19" s="60"/>
      <c r="G19" s="60"/>
      <c r="H19" s="60"/>
      <c r="I19" s="60"/>
      <c r="J19" s="60"/>
    </row>
    <row r="20" spans="2:10" ht="33.75" customHeight="1" x14ac:dyDescent="0.25">
      <c r="B20" s="49" t="s">
        <v>80</v>
      </c>
      <c r="C20" s="49"/>
      <c r="D20" s="49"/>
      <c r="E20" s="49"/>
      <c r="F20" s="49"/>
      <c r="G20" s="49"/>
      <c r="H20" s="49"/>
      <c r="I20" s="49"/>
      <c r="J20" s="49"/>
    </row>
    <row r="21" spans="2:10" ht="33.75" customHeight="1" x14ac:dyDescent="0.25">
      <c r="B21" s="49" t="s">
        <v>135</v>
      </c>
      <c r="C21" s="49"/>
      <c r="D21" s="49"/>
      <c r="E21" s="49"/>
      <c r="F21" s="49"/>
      <c r="G21" s="49"/>
      <c r="H21" s="49"/>
      <c r="I21" s="49"/>
      <c r="J21" s="49"/>
    </row>
    <row r="22" spans="2:10" ht="18.75" customHeight="1" x14ac:dyDescent="0.25">
      <c r="B22" s="49" t="s">
        <v>134</v>
      </c>
      <c r="C22" s="49"/>
      <c r="D22" s="49"/>
      <c r="E22" s="49"/>
      <c r="F22" s="49"/>
      <c r="G22" s="49"/>
      <c r="H22" s="49"/>
      <c r="I22" s="49"/>
      <c r="J22" s="49"/>
    </row>
    <row r="23" spans="2:10" ht="18.75" customHeight="1" x14ac:dyDescent="0.25">
      <c r="B23" s="49" t="s">
        <v>160</v>
      </c>
      <c r="C23" s="49"/>
      <c r="D23" s="49"/>
      <c r="E23" s="49"/>
      <c r="F23" s="49"/>
      <c r="G23" s="49"/>
      <c r="H23" s="49"/>
      <c r="I23" s="49"/>
      <c r="J23" s="49"/>
    </row>
    <row r="25" spans="2:10" ht="48" customHeight="1" x14ac:dyDescent="0.25">
      <c r="B25" s="51" t="s">
        <v>236</v>
      </c>
      <c r="C25" s="52"/>
      <c r="D25" s="52"/>
      <c r="E25" s="52"/>
      <c r="F25" s="52"/>
      <c r="G25" s="52"/>
      <c r="H25" s="52"/>
      <c r="I25" s="52"/>
      <c r="J25" s="53"/>
    </row>
    <row r="26" spans="2:10" ht="36.75" customHeight="1" x14ac:dyDescent="0.25">
      <c r="B26" s="16"/>
      <c r="C26" s="16"/>
      <c r="D26" s="16"/>
      <c r="E26" s="16"/>
      <c r="F26" s="16"/>
      <c r="G26" s="16"/>
      <c r="H26" s="16"/>
      <c r="I26" s="16"/>
      <c r="J26" s="16"/>
    </row>
    <row r="27" spans="2:10" x14ac:dyDescent="0.25">
      <c r="B27" s="17"/>
      <c r="C27" s="17"/>
      <c r="D27" s="17"/>
      <c r="E27" s="17"/>
      <c r="F27" s="17"/>
      <c r="G27" s="17"/>
      <c r="H27" s="17"/>
      <c r="I27" s="17"/>
      <c r="J27" s="17"/>
    </row>
    <row r="28" spans="2:10" ht="22.5" x14ac:dyDescent="0.3">
      <c r="B28" s="17"/>
      <c r="C28" s="54" t="s">
        <v>81</v>
      </c>
      <c r="D28" s="54"/>
      <c r="E28" s="54"/>
      <c r="F28" s="54"/>
      <c r="G28" s="54"/>
      <c r="H28" s="54"/>
      <c r="I28" s="54"/>
      <c r="J28" s="54"/>
    </row>
    <row r="31" spans="2:10" x14ac:dyDescent="0.25">
      <c r="C31" s="55" t="s">
        <v>82</v>
      </c>
      <c r="D31" s="55"/>
      <c r="E31" s="56" t="s">
        <v>83</v>
      </c>
      <c r="F31" s="56"/>
      <c r="G31" s="56"/>
      <c r="H31" s="56"/>
      <c r="I31" s="56"/>
      <c r="J31" s="56"/>
    </row>
    <row r="32" spans="2:10" x14ac:dyDescent="0.25">
      <c r="C32" s="18" t="s">
        <v>84</v>
      </c>
      <c r="D32" s="19" t="s">
        <v>238</v>
      </c>
      <c r="E32" s="50" t="s">
        <v>85</v>
      </c>
      <c r="F32" s="50"/>
      <c r="G32" s="50"/>
      <c r="H32" s="50"/>
      <c r="I32" s="50"/>
      <c r="J32" s="50"/>
    </row>
    <row r="33" spans="3:10" x14ac:dyDescent="0.25">
      <c r="C33" s="18" t="s">
        <v>86</v>
      </c>
      <c r="D33" s="19" t="s">
        <v>239</v>
      </c>
      <c r="E33" s="50" t="s">
        <v>85</v>
      </c>
      <c r="F33" s="50"/>
      <c r="G33" s="50"/>
      <c r="H33" s="50"/>
      <c r="I33" s="50"/>
      <c r="J33" s="50"/>
    </row>
    <row r="34" spans="3:10" x14ac:dyDescent="0.25">
      <c r="C34" s="18" t="s">
        <v>87</v>
      </c>
      <c r="D34" s="20" t="s">
        <v>101</v>
      </c>
      <c r="E34" s="50" t="s">
        <v>88</v>
      </c>
      <c r="F34" s="50"/>
      <c r="G34" s="50"/>
      <c r="H34" s="50"/>
      <c r="I34" s="50"/>
      <c r="J34" s="50"/>
    </row>
    <row r="35" spans="3:10" x14ac:dyDescent="0.25">
      <c r="C35" s="18" t="s">
        <v>89</v>
      </c>
      <c r="D35" s="20" t="s">
        <v>96</v>
      </c>
      <c r="E35" s="50" t="s">
        <v>85</v>
      </c>
      <c r="F35" s="50"/>
      <c r="G35" s="50"/>
      <c r="H35" s="50"/>
      <c r="I35" s="50"/>
      <c r="J35" s="50"/>
    </row>
    <row r="36" spans="3:10" x14ac:dyDescent="0.25">
      <c r="C36" s="18" t="s">
        <v>90</v>
      </c>
      <c r="D36" s="21">
        <v>19</v>
      </c>
      <c r="E36" s="50" t="s">
        <v>91</v>
      </c>
      <c r="F36" s="50"/>
      <c r="G36" s="50"/>
      <c r="H36" s="50"/>
      <c r="I36" s="50"/>
      <c r="J36" s="50"/>
    </row>
    <row r="37" spans="3:10" x14ac:dyDescent="0.25">
      <c r="C37" s="18" t="s">
        <v>104</v>
      </c>
      <c r="D37" s="21" t="s">
        <v>105</v>
      </c>
      <c r="E37" s="50" t="s">
        <v>88</v>
      </c>
      <c r="F37" s="50"/>
      <c r="G37" s="50"/>
      <c r="H37" s="50"/>
      <c r="I37" s="50"/>
      <c r="J37" s="50"/>
    </row>
    <row r="38" spans="3:10" x14ac:dyDescent="0.25">
      <c r="C38" s="18" t="s">
        <v>92</v>
      </c>
      <c r="D38" s="22">
        <v>44194</v>
      </c>
      <c r="E38" s="50" t="s">
        <v>93</v>
      </c>
      <c r="F38" s="50"/>
      <c r="G38" s="50"/>
      <c r="H38" s="50"/>
      <c r="I38" s="50"/>
      <c r="J38" s="50"/>
    </row>
    <row r="1048548" spans="16379:16383" x14ac:dyDescent="0.25">
      <c r="XEY1048548" s="13" t="s">
        <v>214</v>
      </c>
      <c r="XEZ1048548" s="13" t="s">
        <v>96</v>
      </c>
      <c r="XFA1048548" s="23">
        <v>42736</v>
      </c>
      <c r="XFB1048548" s="13" t="s">
        <v>97</v>
      </c>
      <c r="XFC1048548" s="13" t="s">
        <v>105</v>
      </c>
    </row>
    <row r="1048549" spans="16379:16383" x14ac:dyDescent="0.25">
      <c r="XEY1048549" s="13" t="s">
        <v>95</v>
      </c>
      <c r="XEZ1048549" s="13" t="s">
        <v>99</v>
      </c>
      <c r="XFA1048549" s="23">
        <v>46752</v>
      </c>
      <c r="XFB1048549" s="13" t="s">
        <v>100</v>
      </c>
      <c r="XFC1048549" s="13" t="s">
        <v>106</v>
      </c>
    </row>
    <row r="1048550" spans="16379:16383" x14ac:dyDescent="0.25">
      <c r="XEY1048550" s="13" t="s">
        <v>98</v>
      </c>
      <c r="XEZ1048550" s="13" t="s">
        <v>102</v>
      </c>
      <c r="XFA1048550" s="24"/>
      <c r="XFB1048550" s="13" t="s">
        <v>103</v>
      </c>
      <c r="XFC1048550" s="13" t="s">
        <v>229</v>
      </c>
    </row>
    <row r="1048551" spans="16379:16383" x14ac:dyDescent="0.25">
      <c r="XEY1048551" s="13" t="s">
        <v>101</v>
      </c>
    </row>
  </sheetData>
  <sheetProtection algorithmName="SHA-512" hashValue="20t4t2NTdpRd2R/qxNIfvXSKP7g1QTVc4YDflDUEB6cPCZLDE1XXc2qT7hGAKTleFbAxA8L4f6VOMxivD67AUQ==" saltValue="9RQxnVhX0s2lpNNgZVYobg==" spinCount="100000" sheet="1" objects="1" scenarios="1"/>
  <mergeCells count="29">
    <mergeCell ref="B9:J9"/>
    <mergeCell ref="B10:J10"/>
    <mergeCell ref="B2:J3"/>
    <mergeCell ref="B4:J5"/>
    <mergeCell ref="B8:J8"/>
    <mergeCell ref="B20:J20"/>
    <mergeCell ref="B12:J12"/>
    <mergeCell ref="B13:J13"/>
    <mergeCell ref="B14:J14"/>
    <mergeCell ref="B15:J15"/>
    <mergeCell ref="B11:J11"/>
    <mergeCell ref="B16:J16"/>
    <mergeCell ref="B17:J17"/>
    <mergeCell ref="B18:J18"/>
    <mergeCell ref="B19:J19"/>
    <mergeCell ref="E38:J38"/>
    <mergeCell ref="B23:J23"/>
    <mergeCell ref="B25:J25"/>
    <mergeCell ref="C28:J28"/>
    <mergeCell ref="C31:D31"/>
    <mergeCell ref="E31:J31"/>
    <mergeCell ref="B21:J21"/>
    <mergeCell ref="E37:J37"/>
    <mergeCell ref="E32:J32"/>
    <mergeCell ref="E33:J33"/>
    <mergeCell ref="E34:J34"/>
    <mergeCell ref="E35:J35"/>
    <mergeCell ref="E36:J36"/>
    <mergeCell ref="B22:J22"/>
  </mergeCells>
  <dataValidations count="3">
    <dataValidation type="date" allowBlank="1" showInputMessage="1" showErrorMessage="1" sqref="D38" xr:uid="{00000000-0002-0000-0000-000000000000}">
      <formula1>XFA1048548</formula1>
      <formula2>XFA1048549</formula2>
    </dataValidation>
    <dataValidation type="list" allowBlank="1" showInputMessage="1" showErrorMessage="1" sqref="D37" xr:uid="{00000000-0002-0000-0000-000001000000}">
      <formula1>$XFC$1048548:$XFC$1048550</formula1>
    </dataValidation>
    <dataValidation type="list" allowBlank="1" showInputMessage="1" showErrorMessage="1" sqref="D34" xr:uid="{00000000-0002-0000-0000-000002000000}">
      <formula1>$XEY$1048548:$XEY$1048551</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1048567"/>
  <sheetViews>
    <sheetView showGridLines="0" workbookViewId="0">
      <selection activeCell="D33" sqref="D33"/>
    </sheetView>
  </sheetViews>
  <sheetFormatPr baseColWidth="10" defaultColWidth="10.7109375" defaultRowHeight="15" x14ac:dyDescent="0.25"/>
  <cols>
    <col min="1" max="1" width="3" customWidth="1"/>
    <col min="2" max="2" width="3.5703125" customWidth="1"/>
    <col min="3" max="3" width="54.7109375" customWidth="1"/>
    <col min="4" max="4" width="53.7109375" customWidth="1"/>
    <col min="16383" max="16383" width="30.42578125" customWidth="1"/>
    <col min="16384" max="16384" width="16.42578125" customWidth="1"/>
  </cols>
  <sheetData>
    <row r="1" spans="1:4" ht="31.5" x14ac:dyDescent="0.5">
      <c r="A1" s="65" t="s">
        <v>94</v>
      </c>
      <c r="B1" s="65"/>
      <c r="C1" s="65"/>
      <c r="D1" s="65"/>
    </row>
    <row r="3" spans="1:4" ht="15.75" x14ac:dyDescent="0.3">
      <c r="A3" s="12" t="s">
        <v>168</v>
      </c>
      <c r="B3" s="12" t="s">
        <v>234</v>
      </c>
      <c r="C3" s="12"/>
      <c r="D3" s="12"/>
    </row>
    <row r="4" spans="1:4" x14ac:dyDescent="0.25">
      <c r="A4" s="12"/>
      <c r="B4" s="12" t="s">
        <v>137</v>
      </c>
      <c r="C4" s="63" t="s">
        <v>240</v>
      </c>
      <c r="D4" s="63"/>
    </row>
    <row r="5" spans="1:4" x14ac:dyDescent="0.25">
      <c r="A5" s="12"/>
      <c r="B5" s="12" t="s">
        <v>138</v>
      </c>
      <c r="C5" s="63" t="s">
        <v>241</v>
      </c>
      <c r="D5" s="63"/>
    </row>
    <row r="6" spans="1:4" x14ac:dyDescent="0.25">
      <c r="A6" s="12"/>
      <c r="B6" s="12" t="s">
        <v>139</v>
      </c>
      <c r="C6" s="63" t="s">
        <v>242</v>
      </c>
      <c r="D6" s="63"/>
    </row>
    <row r="7" spans="1:4" x14ac:dyDescent="0.25">
      <c r="A7" s="13"/>
      <c r="B7" s="13"/>
      <c r="C7" s="13"/>
      <c r="D7" s="13"/>
    </row>
    <row r="8" spans="1:4" ht="15.75" x14ac:dyDescent="0.3">
      <c r="A8" s="12" t="s">
        <v>140</v>
      </c>
      <c r="B8" s="12" t="s">
        <v>235</v>
      </c>
      <c r="C8" s="12"/>
      <c r="D8" s="12"/>
    </row>
    <row r="9" spans="1:4" x14ac:dyDescent="0.25">
      <c r="A9" s="12"/>
      <c r="B9" s="12" t="s">
        <v>137</v>
      </c>
      <c r="C9" s="63" t="s">
        <v>243</v>
      </c>
      <c r="D9" s="63"/>
    </row>
    <row r="10" spans="1:4" x14ac:dyDescent="0.25">
      <c r="A10" s="12"/>
      <c r="B10" s="12" t="s">
        <v>138</v>
      </c>
      <c r="C10" s="64" t="s">
        <v>244</v>
      </c>
      <c r="D10" s="64"/>
    </row>
    <row r="11" spans="1:4" x14ac:dyDescent="0.25">
      <c r="A11" s="12"/>
      <c r="B11" s="12" t="s">
        <v>139</v>
      </c>
      <c r="C11" s="63" t="s">
        <v>245</v>
      </c>
      <c r="D11" s="63"/>
    </row>
    <row r="12" spans="1:4" x14ac:dyDescent="0.25">
      <c r="A12" s="13"/>
      <c r="B12" s="13"/>
      <c r="C12" s="13"/>
      <c r="D12" s="13"/>
    </row>
    <row r="13" spans="1:4" x14ac:dyDescent="0.25">
      <c r="A13" s="12" t="s">
        <v>169</v>
      </c>
      <c r="B13" s="12" t="s">
        <v>230</v>
      </c>
      <c r="C13" s="12"/>
      <c r="D13" s="14"/>
    </row>
    <row r="14" spans="1:4" x14ac:dyDescent="0.25">
      <c r="A14" s="12"/>
      <c r="B14" s="12" t="s">
        <v>136</v>
      </c>
      <c r="C14" s="12" t="s">
        <v>232</v>
      </c>
      <c r="D14" s="15" t="s">
        <v>246</v>
      </c>
    </row>
    <row r="15" spans="1:4" x14ac:dyDescent="0.25">
      <c r="A15" s="13"/>
      <c r="B15" s="13"/>
      <c r="C15" s="13"/>
      <c r="D15" s="13"/>
    </row>
    <row r="16" spans="1:4" x14ac:dyDescent="0.25">
      <c r="A16" s="12" t="s">
        <v>170</v>
      </c>
      <c r="B16" s="12" t="s">
        <v>231</v>
      </c>
      <c r="C16" s="12"/>
      <c r="D16" s="14"/>
    </row>
    <row r="17" spans="1:4" x14ac:dyDescent="0.25">
      <c r="A17" s="12"/>
      <c r="B17" s="12" t="s">
        <v>136</v>
      </c>
      <c r="C17" s="12" t="s">
        <v>233</v>
      </c>
      <c r="D17" s="15" t="s">
        <v>247</v>
      </c>
    </row>
    <row r="18" spans="1:4" x14ac:dyDescent="0.25">
      <c r="A18" s="13"/>
      <c r="B18" s="13"/>
      <c r="C18" s="13"/>
      <c r="D18" s="13"/>
    </row>
    <row r="19" spans="1:4" x14ac:dyDescent="0.25">
      <c r="A19" s="12" t="s">
        <v>142</v>
      </c>
      <c r="B19" s="12" t="s">
        <v>141</v>
      </c>
      <c r="C19" s="12"/>
      <c r="D19" s="12"/>
    </row>
    <row r="20" spans="1:4" x14ac:dyDescent="0.25">
      <c r="A20" s="12"/>
      <c r="B20" s="12" t="s">
        <v>137</v>
      </c>
      <c r="C20" s="63" t="s">
        <v>248</v>
      </c>
      <c r="D20" s="63"/>
    </row>
    <row r="21" spans="1:4" x14ac:dyDescent="0.25">
      <c r="A21" s="12"/>
      <c r="B21" s="12" t="s">
        <v>138</v>
      </c>
      <c r="C21" s="64" t="s">
        <v>249</v>
      </c>
      <c r="D21" s="64"/>
    </row>
    <row r="22" spans="1:4" x14ac:dyDescent="0.25">
      <c r="A22" s="12"/>
      <c r="B22" s="12" t="s">
        <v>139</v>
      </c>
      <c r="C22" s="63" t="s">
        <v>250</v>
      </c>
      <c r="D22" s="63"/>
    </row>
    <row r="23" spans="1:4" x14ac:dyDescent="0.25">
      <c r="A23" s="13"/>
      <c r="B23" s="13"/>
      <c r="C23" s="13"/>
      <c r="D23" s="13"/>
    </row>
    <row r="24" spans="1:4" x14ac:dyDescent="0.25">
      <c r="A24" s="12" t="s">
        <v>144</v>
      </c>
      <c r="B24" s="12" t="s">
        <v>143</v>
      </c>
      <c r="C24" s="12"/>
      <c r="D24" s="12"/>
    </row>
    <row r="25" spans="1:4" x14ac:dyDescent="0.25">
      <c r="A25" s="12"/>
      <c r="B25" s="12" t="s">
        <v>137</v>
      </c>
      <c r="C25" s="63" t="s">
        <v>251</v>
      </c>
      <c r="D25" s="63"/>
    </row>
    <row r="26" spans="1:4" x14ac:dyDescent="0.25">
      <c r="A26" s="12"/>
      <c r="B26" s="12" t="s">
        <v>138</v>
      </c>
      <c r="C26" s="64" t="s">
        <v>251</v>
      </c>
      <c r="D26" s="64"/>
    </row>
    <row r="27" spans="1:4" x14ac:dyDescent="0.25">
      <c r="A27" s="12"/>
      <c r="B27" s="12" t="s">
        <v>139</v>
      </c>
      <c r="C27" s="63" t="s">
        <v>251</v>
      </c>
      <c r="D27" s="63"/>
    </row>
    <row r="28" spans="1:4" x14ac:dyDescent="0.25">
      <c r="A28" s="13"/>
      <c r="B28" s="13"/>
      <c r="C28" s="13"/>
      <c r="D28" s="13"/>
    </row>
    <row r="29" spans="1:4" x14ac:dyDescent="0.25">
      <c r="A29" s="12" t="s">
        <v>146</v>
      </c>
      <c r="B29" s="12" t="s">
        <v>145</v>
      </c>
      <c r="C29" s="12"/>
      <c r="D29" s="12"/>
    </row>
    <row r="30" spans="1:4" x14ac:dyDescent="0.25">
      <c r="A30" s="12"/>
      <c r="B30" s="12" t="s">
        <v>137</v>
      </c>
      <c r="C30" s="63" t="s">
        <v>251</v>
      </c>
      <c r="D30" s="63"/>
    </row>
    <row r="31" spans="1:4" x14ac:dyDescent="0.25">
      <c r="A31" s="12"/>
      <c r="B31" s="12" t="s">
        <v>138</v>
      </c>
      <c r="C31" s="64" t="s">
        <v>251</v>
      </c>
      <c r="D31" s="64"/>
    </row>
    <row r="32" spans="1:4" x14ac:dyDescent="0.25">
      <c r="A32" s="12"/>
      <c r="B32" s="12" t="s">
        <v>139</v>
      </c>
      <c r="C32" s="63" t="s">
        <v>251</v>
      </c>
      <c r="D32" s="63"/>
    </row>
    <row r="1048554" spans="16383:16383" x14ac:dyDescent="0.25">
      <c r="XFC1048554" t="s">
        <v>156</v>
      </c>
    </row>
    <row r="1048555" spans="16383:16383" x14ac:dyDescent="0.25">
      <c r="XFC1048555" t="s">
        <v>157</v>
      </c>
    </row>
    <row r="1048556" spans="16383:16383" x14ac:dyDescent="0.25">
      <c r="XFC1048556" t="s">
        <v>158</v>
      </c>
    </row>
    <row r="1048558" spans="16383:16383" x14ac:dyDescent="0.25">
      <c r="XFC1048558" t="s">
        <v>147</v>
      </c>
    </row>
    <row r="1048559" spans="16383:16383" x14ac:dyDescent="0.25">
      <c r="XFC1048559" t="s">
        <v>148</v>
      </c>
    </row>
    <row r="1048560" spans="16383:16383" x14ac:dyDescent="0.25">
      <c r="XFC1048560" t="s">
        <v>149</v>
      </c>
    </row>
    <row r="1048561" spans="16383:16383" x14ac:dyDescent="0.25">
      <c r="XFC1048561" t="s">
        <v>150</v>
      </c>
    </row>
    <row r="1048563" spans="16383:16383" x14ac:dyDescent="0.25">
      <c r="XFC1048563" t="s">
        <v>151</v>
      </c>
    </row>
    <row r="1048564" spans="16383:16383" x14ac:dyDescent="0.25">
      <c r="XFC1048564" t="s">
        <v>152</v>
      </c>
    </row>
    <row r="1048565" spans="16383:16383" x14ac:dyDescent="0.25">
      <c r="XFC1048565" t="s">
        <v>153</v>
      </c>
    </row>
    <row r="1048566" spans="16383:16383" x14ac:dyDescent="0.25">
      <c r="XFC1048566" t="s">
        <v>154</v>
      </c>
    </row>
    <row r="1048567" spans="16383:16383" x14ac:dyDescent="0.25">
      <c r="XFC1048567" t="s">
        <v>155</v>
      </c>
    </row>
  </sheetData>
  <sheetProtection selectLockedCells="1"/>
  <mergeCells count="16">
    <mergeCell ref="A1:D1"/>
    <mergeCell ref="C20:D20"/>
    <mergeCell ref="C21:D21"/>
    <mergeCell ref="C22:D22"/>
    <mergeCell ref="C25:D25"/>
    <mergeCell ref="C9:D9"/>
    <mergeCell ref="C10:D10"/>
    <mergeCell ref="C11:D11"/>
    <mergeCell ref="C4:D4"/>
    <mergeCell ref="C5:D5"/>
    <mergeCell ref="C6:D6"/>
    <mergeCell ref="C30:D30"/>
    <mergeCell ref="C31:D31"/>
    <mergeCell ref="C32:D32"/>
    <mergeCell ref="C26:D26"/>
    <mergeCell ref="C27:D27"/>
  </mergeCells>
  <dataValidations count="1">
    <dataValidation type="list" allowBlank="1" showInputMessage="1" showErrorMessage="1" sqref="D13 D16" xr:uid="{00000000-0002-0000-0100-000000000000}">
      <formula1>$XFC$1048563:$XFC$1048576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1048576"/>
  <sheetViews>
    <sheetView topLeftCell="B1" zoomScale="70" zoomScaleNormal="70" workbookViewId="0">
      <selection activeCell="C22" sqref="C22"/>
    </sheetView>
  </sheetViews>
  <sheetFormatPr baseColWidth="10" defaultColWidth="11.42578125" defaultRowHeight="14.25" x14ac:dyDescent="0.2"/>
  <cols>
    <col min="1" max="1" width="5.7109375" style="13" customWidth="1"/>
    <col min="2" max="2" width="149.85546875" style="33" customWidth="1"/>
    <col min="3" max="3" width="27.7109375" style="13" customWidth="1"/>
    <col min="4" max="16384" width="11.42578125" style="13"/>
  </cols>
  <sheetData>
    <row r="1" spans="1:3" s="28" customFormat="1" ht="21" x14ac:dyDescent="0.35">
      <c r="A1" s="25" t="s">
        <v>64</v>
      </c>
      <c r="B1" s="27" t="s">
        <v>237</v>
      </c>
      <c r="C1" s="26" t="s">
        <v>65</v>
      </c>
    </row>
    <row r="2" spans="1:3" s="31" customFormat="1" ht="18.75" customHeight="1" x14ac:dyDescent="0.25">
      <c r="A2" s="29">
        <v>1</v>
      </c>
      <c r="B2" s="30" t="s">
        <v>0</v>
      </c>
      <c r="C2" s="31" t="s">
        <v>60</v>
      </c>
    </row>
    <row r="3" spans="1:3" s="37" customFormat="1" ht="18.75" customHeight="1" x14ac:dyDescent="0.25">
      <c r="A3" s="35">
        <v>2</v>
      </c>
      <c r="B3" s="36" t="s">
        <v>1</v>
      </c>
      <c r="C3" s="37" t="s">
        <v>61</v>
      </c>
    </row>
    <row r="4" spans="1:3" s="31" customFormat="1" ht="18.75" customHeight="1" x14ac:dyDescent="0.25">
      <c r="A4" s="29">
        <v>3</v>
      </c>
      <c r="B4" s="30" t="s">
        <v>2</v>
      </c>
      <c r="C4" s="31" t="s">
        <v>62</v>
      </c>
    </row>
    <row r="5" spans="1:3" s="37" customFormat="1" ht="18.75" customHeight="1" x14ac:dyDescent="0.25">
      <c r="A5" s="35">
        <v>4</v>
      </c>
      <c r="B5" s="36" t="s">
        <v>3</v>
      </c>
      <c r="C5" s="37" t="s">
        <v>60</v>
      </c>
    </row>
    <row r="6" spans="1:3" s="31" customFormat="1" ht="18.75" customHeight="1" x14ac:dyDescent="0.25">
      <c r="A6" s="29">
        <v>5</v>
      </c>
      <c r="B6" s="30" t="s">
        <v>4</v>
      </c>
      <c r="C6" s="31" t="s">
        <v>60</v>
      </c>
    </row>
    <row r="7" spans="1:3" s="37" customFormat="1" ht="18.75" customHeight="1" x14ac:dyDescent="0.25">
      <c r="A7" s="35">
        <v>6</v>
      </c>
      <c r="B7" s="36" t="s">
        <v>5</v>
      </c>
      <c r="C7" s="37" t="s">
        <v>62</v>
      </c>
    </row>
    <row r="8" spans="1:3" s="31" customFormat="1" ht="18.75" customHeight="1" x14ac:dyDescent="0.25">
      <c r="A8" s="29">
        <v>7</v>
      </c>
      <c r="B8" s="30" t="s">
        <v>6</v>
      </c>
      <c r="C8" s="31" t="s">
        <v>61</v>
      </c>
    </row>
    <row r="9" spans="1:3" s="37" customFormat="1" ht="18.75" customHeight="1" x14ac:dyDescent="0.25">
      <c r="A9" s="35">
        <v>8</v>
      </c>
      <c r="B9" s="36" t="s">
        <v>7</v>
      </c>
      <c r="C9" s="37" t="s">
        <v>60</v>
      </c>
    </row>
    <row r="10" spans="1:3" s="31" customFormat="1" ht="18.75" customHeight="1" x14ac:dyDescent="0.25">
      <c r="A10" s="29">
        <v>9</v>
      </c>
      <c r="B10" s="30" t="s">
        <v>8</v>
      </c>
      <c r="C10" s="31" t="s">
        <v>62</v>
      </c>
    </row>
    <row r="11" spans="1:3" s="37" customFormat="1" ht="18.75" customHeight="1" x14ac:dyDescent="0.25">
      <c r="A11" s="35">
        <v>10</v>
      </c>
      <c r="B11" s="36" t="s">
        <v>9</v>
      </c>
      <c r="C11" s="37" t="s">
        <v>61</v>
      </c>
    </row>
    <row r="12" spans="1:3" s="31" customFormat="1" ht="18.75" customHeight="1" x14ac:dyDescent="0.25">
      <c r="A12" s="29">
        <v>11</v>
      </c>
      <c r="B12" s="30" t="s">
        <v>10</v>
      </c>
      <c r="C12" s="31" t="s">
        <v>60</v>
      </c>
    </row>
    <row r="13" spans="1:3" s="37" customFormat="1" ht="18.75" customHeight="1" x14ac:dyDescent="0.25">
      <c r="A13" s="35">
        <v>12</v>
      </c>
      <c r="B13" s="36" t="s">
        <v>11</v>
      </c>
      <c r="C13" s="37" t="s">
        <v>60</v>
      </c>
    </row>
    <row r="14" spans="1:3" s="31" customFormat="1" ht="18.75" customHeight="1" x14ac:dyDescent="0.25">
      <c r="A14" s="29">
        <v>13</v>
      </c>
      <c r="B14" s="30" t="s">
        <v>12</v>
      </c>
      <c r="C14" s="31" t="s">
        <v>61</v>
      </c>
    </row>
    <row r="15" spans="1:3" s="37" customFormat="1" ht="18.75" customHeight="1" x14ac:dyDescent="0.25">
      <c r="A15" s="35">
        <v>14</v>
      </c>
      <c r="B15" s="36" t="s">
        <v>13</v>
      </c>
      <c r="C15" s="37" t="s">
        <v>60</v>
      </c>
    </row>
    <row r="16" spans="1:3" s="31" customFormat="1" ht="18.75" customHeight="1" x14ac:dyDescent="0.25">
      <c r="A16" s="29">
        <v>15</v>
      </c>
      <c r="B16" s="30" t="s">
        <v>14</v>
      </c>
      <c r="C16" s="31" t="s">
        <v>60</v>
      </c>
    </row>
    <row r="17" spans="1:3" s="37" customFormat="1" ht="18.75" customHeight="1" x14ac:dyDescent="0.25">
      <c r="A17" s="35">
        <v>16</v>
      </c>
      <c r="B17" s="36" t="s">
        <v>15</v>
      </c>
      <c r="C17" s="37" t="s">
        <v>60</v>
      </c>
    </row>
    <row r="18" spans="1:3" s="31" customFormat="1" ht="18.75" customHeight="1" x14ac:dyDescent="0.25">
      <c r="A18" s="29">
        <v>17</v>
      </c>
      <c r="B18" s="30" t="s">
        <v>159</v>
      </c>
      <c r="C18" s="31" t="s">
        <v>61</v>
      </c>
    </row>
    <row r="19" spans="1:3" s="37" customFormat="1" ht="18.75" customHeight="1" x14ac:dyDescent="0.25">
      <c r="A19" s="35">
        <v>18</v>
      </c>
      <c r="B19" s="36" t="s">
        <v>16</v>
      </c>
      <c r="C19" s="37" t="s">
        <v>62</v>
      </c>
    </row>
    <row r="20" spans="1:3" s="31" customFormat="1" ht="18.75" customHeight="1" x14ac:dyDescent="0.25">
      <c r="A20" s="29">
        <v>19</v>
      </c>
      <c r="B20" s="30" t="s">
        <v>17</v>
      </c>
      <c r="C20" s="31" t="s">
        <v>60</v>
      </c>
    </row>
    <row r="21" spans="1:3" s="37" customFormat="1" ht="18.75" customHeight="1" x14ac:dyDescent="0.25">
      <c r="A21" s="35">
        <v>20</v>
      </c>
      <c r="B21" s="36" t="s">
        <v>18</v>
      </c>
      <c r="C21" s="37" t="s">
        <v>61</v>
      </c>
    </row>
    <row r="22" spans="1:3" s="31" customFormat="1" ht="18.75" customHeight="1" x14ac:dyDescent="0.25">
      <c r="A22" s="29">
        <v>21</v>
      </c>
      <c r="B22" s="30" t="s">
        <v>19</v>
      </c>
      <c r="C22" s="31" t="s">
        <v>62</v>
      </c>
    </row>
    <row r="23" spans="1:3" s="37" customFormat="1" ht="18.75" customHeight="1" x14ac:dyDescent="0.25">
      <c r="A23" s="35">
        <v>22</v>
      </c>
      <c r="B23" s="36" t="s">
        <v>20</v>
      </c>
      <c r="C23" s="37" t="s">
        <v>62</v>
      </c>
    </row>
    <row r="24" spans="1:3" s="31" customFormat="1" ht="18.75" customHeight="1" x14ac:dyDescent="0.25">
      <c r="A24" s="29">
        <v>23</v>
      </c>
      <c r="B24" s="30" t="s">
        <v>21</v>
      </c>
      <c r="C24" s="31" t="s">
        <v>60</v>
      </c>
    </row>
    <row r="25" spans="1:3" s="37" customFormat="1" ht="18.75" customHeight="1" x14ac:dyDescent="0.25">
      <c r="A25" s="35">
        <v>24</v>
      </c>
      <c r="B25" s="36" t="s">
        <v>22</v>
      </c>
      <c r="C25" s="37" t="s">
        <v>62</v>
      </c>
    </row>
    <row r="26" spans="1:3" s="31" customFormat="1" ht="18.75" customHeight="1" x14ac:dyDescent="0.25">
      <c r="A26" s="29">
        <v>25</v>
      </c>
      <c r="B26" s="30" t="s">
        <v>23</v>
      </c>
      <c r="C26" s="31" t="s">
        <v>62</v>
      </c>
    </row>
    <row r="27" spans="1:3" s="37" customFormat="1" ht="18.75" customHeight="1" x14ac:dyDescent="0.25">
      <c r="A27" s="35">
        <v>26</v>
      </c>
      <c r="B27" s="36" t="s">
        <v>24</v>
      </c>
      <c r="C27" s="37" t="s">
        <v>60</v>
      </c>
    </row>
    <row r="28" spans="1:3" s="31" customFormat="1" ht="18.75" customHeight="1" x14ac:dyDescent="0.25">
      <c r="A28" s="29">
        <v>27</v>
      </c>
      <c r="B28" s="30" t="s">
        <v>25</v>
      </c>
      <c r="C28" s="31" t="s">
        <v>60</v>
      </c>
    </row>
    <row r="29" spans="1:3" s="37" customFormat="1" ht="18.75" customHeight="1" x14ac:dyDescent="0.25">
      <c r="A29" s="35">
        <v>28</v>
      </c>
      <c r="B29" s="36" t="s">
        <v>26</v>
      </c>
      <c r="C29" s="37" t="s">
        <v>61</v>
      </c>
    </row>
    <row r="30" spans="1:3" s="31" customFormat="1" ht="18.75" customHeight="1" x14ac:dyDescent="0.25">
      <c r="A30" s="29">
        <v>29</v>
      </c>
      <c r="B30" s="30" t="s">
        <v>27</v>
      </c>
      <c r="C30" s="31" t="s">
        <v>60</v>
      </c>
    </row>
    <row r="31" spans="1:3" s="37" customFormat="1" ht="18.75" customHeight="1" x14ac:dyDescent="0.25">
      <c r="A31" s="35">
        <v>30</v>
      </c>
      <c r="B31" s="36" t="s">
        <v>28</v>
      </c>
      <c r="C31" s="37" t="s">
        <v>62</v>
      </c>
    </row>
    <row r="32" spans="1:3" s="31" customFormat="1" ht="18.75" customHeight="1" x14ac:dyDescent="0.25">
      <c r="A32" s="29">
        <v>31</v>
      </c>
      <c r="B32" s="30" t="s">
        <v>29</v>
      </c>
      <c r="C32" s="31" t="s">
        <v>62</v>
      </c>
    </row>
    <row r="33" spans="1:3" s="37" customFormat="1" ht="18.75" customHeight="1" x14ac:dyDescent="0.25">
      <c r="A33" s="35">
        <v>32</v>
      </c>
      <c r="B33" s="36" t="s">
        <v>30</v>
      </c>
      <c r="C33" s="37" t="s">
        <v>60</v>
      </c>
    </row>
    <row r="34" spans="1:3" s="31" customFormat="1" ht="18.75" customHeight="1" x14ac:dyDescent="0.25">
      <c r="A34" s="29">
        <v>33</v>
      </c>
      <c r="B34" s="30" t="s">
        <v>31</v>
      </c>
      <c r="C34" s="31" t="s">
        <v>60</v>
      </c>
    </row>
    <row r="35" spans="1:3" s="37" customFormat="1" ht="18.75" customHeight="1" x14ac:dyDescent="0.25">
      <c r="A35" s="35">
        <v>34</v>
      </c>
      <c r="B35" s="36" t="s">
        <v>32</v>
      </c>
      <c r="C35" s="37" t="s">
        <v>60</v>
      </c>
    </row>
    <row r="36" spans="1:3" s="31" customFormat="1" ht="18.75" customHeight="1" x14ac:dyDescent="0.25">
      <c r="A36" s="29">
        <v>35</v>
      </c>
      <c r="B36" s="30" t="s">
        <v>33</v>
      </c>
      <c r="C36" s="31" t="s">
        <v>61</v>
      </c>
    </row>
    <row r="37" spans="1:3" s="37" customFormat="1" ht="18.75" customHeight="1" x14ac:dyDescent="0.25">
      <c r="A37" s="35">
        <v>36</v>
      </c>
      <c r="B37" s="36" t="s">
        <v>34</v>
      </c>
      <c r="C37" s="37" t="s">
        <v>60</v>
      </c>
    </row>
    <row r="38" spans="1:3" s="31" customFormat="1" ht="18.75" customHeight="1" x14ac:dyDescent="0.25">
      <c r="A38" s="29">
        <v>37</v>
      </c>
      <c r="B38" s="30" t="s">
        <v>35</v>
      </c>
      <c r="C38" s="31" t="s">
        <v>62</v>
      </c>
    </row>
    <row r="39" spans="1:3" s="37" customFormat="1" ht="18.75" customHeight="1" x14ac:dyDescent="0.25">
      <c r="A39" s="35">
        <v>38</v>
      </c>
      <c r="B39" s="36" t="s">
        <v>36</v>
      </c>
      <c r="C39" s="37" t="s">
        <v>60</v>
      </c>
    </row>
    <row r="40" spans="1:3" s="31" customFormat="1" ht="18.75" customHeight="1" x14ac:dyDescent="0.25">
      <c r="A40" s="29">
        <v>39</v>
      </c>
      <c r="B40" s="30" t="s">
        <v>37</v>
      </c>
      <c r="C40" s="31" t="s">
        <v>60</v>
      </c>
    </row>
    <row r="41" spans="1:3" s="37" customFormat="1" ht="18.75" customHeight="1" x14ac:dyDescent="0.25">
      <c r="A41" s="35">
        <v>40</v>
      </c>
      <c r="B41" s="36" t="s">
        <v>38</v>
      </c>
      <c r="C41" s="37" t="s">
        <v>62</v>
      </c>
    </row>
    <row r="42" spans="1:3" s="31" customFormat="1" ht="18.75" customHeight="1" x14ac:dyDescent="0.25">
      <c r="A42" s="29">
        <v>41</v>
      </c>
      <c r="B42" s="30" t="s">
        <v>39</v>
      </c>
      <c r="C42" s="31" t="s">
        <v>59</v>
      </c>
    </row>
    <row r="43" spans="1:3" s="37" customFormat="1" ht="18.75" customHeight="1" x14ac:dyDescent="0.25">
      <c r="A43" s="35">
        <v>42</v>
      </c>
      <c r="B43" s="36" t="s">
        <v>40</v>
      </c>
      <c r="C43" s="37" t="s">
        <v>62</v>
      </c>
    </row>
    <row r="44" spans="1:3" s="31" customFormat="1" ht="18.75" customHeight="1" x14ac:dyDescent="0.25">
      <c r="A44" s="29">
        <v>43</v>
      </c>
      <c r="B44" s="30" t="s">
        <v>41</v>
      </c>
      <c r="C44" s="31" t="s">
        <v>60</v>
      </c>
    </row>
    <row r="45" spans="1:3" s="37" customFormat="1" ht="18.75" customHeight="1" x14ac:dyDescent="0.25">
      <c r="A45" s="35">
        <v>44</v>
      </c>
      <c r="B45" s="36" t="s">
        <v>42</v>
      </c>
      <c r="C45" s="37" t="s">
        <v>60</v>
      </c>
    </row>
    <row r="46" spans="1:3" s="31" customFormat="1" ht="18.75" customHeight="1" x14ac:dyDescent="0.25">
      <c r="A46" s="29">
        <v>45</v>
      </c>
      <c r="B46" s="30" t="s">
        <v>43</v>
      </c>
      <c r="C46" s="31" t="s">
        <v>60</v>
      </c>
    </row>
    <row r="47" spans="1:3" s="37" customFormat="1" ht="18.75" customHeight="1" x14ac:dyDescent="0.25">
      <c r="A47" s="35">
        <v>46</v>
      </c>
      <c r="B47" s="36" t="s">
        <v>44</v>
      </c>
      <c r="C47" s="37" t="s">
        <v>60</v>
      </c>
    </row>
    <row r="48" spans="1:3" s="31" customFormat="1" ht="18.75" customHeight="1" x14ac:dyDescent="0.25">
      <c r="A48" s="29">
        <v>47</v>
      </c>
      <c r="B48" s="30" t="s">
        <v>45</v>
      </c>
      <c r="C48" s="31" t="s">
        <v>61</v>
      </c>
    </row>
    <row r="49" spans="1:3" s="37" customFormat="1" ht="18.75" customHeight="1" x14ac:dyDescent="0.25">
      <c r="A49" s="35">
        <v>48</v>
      </c>
      <c r="B49" s="36" t="s">
        <v>46</v>
      </c>
      <c r="C49" s="37" t="s">
        <v>62</v>
      </c>
    </row>
    <row r="50" spans="1:3" s="31" customFormat="1" ht="18.75" customHeight="1" x14ac:dyDescent="0.25">
      <c r="A50" s="29">
        <v>49</v>
      </c>
      <c r="B50" s="30" t="s">
        <v>47</v>
      </c>
      <c r="C50" s="31" t="s">
        <v>63</v>
      </c>
    </row>
    <row r="51" spans="1:3" s="37" customFormat="1" ht="18.75" customHeight="1" x14ac:dyDescent="0.25">
      <c r="A51" s="35">
        <v>50</v>
      </c>
      <c r="B51" s="36" t="s">
        <v>48</v>
      </c>
      <c r="C51" s="37" t="s">
        <v>62</v>
      </c>
    </row>
    <row r="52" spans="1:3" s="31" customFormat="1" ht="18.75" customHeight="1" x14ac:dyDescent="0.25">
      <c r="A52" s="29">
        <v>51</v>
      </c>
      <c r="B52" s="30" t="s">
        <v>49</v>
      </c>
      <c r="C52" s="31" t="s">
        <v>59</v>
      </c>
    </row>
    <row r="53" spans="1:3" s="37" customFormat="1" ht="18.75" customHeight="1" x14ac:dyDescent="0.25">
      <c r="A53" s="35">
        <v>52</v>
      </c>
      <c r="B53" s="36" t="s">
        <v>50</v>
      </c>
      <c r="C53" s="37" t="s">
        <v>61</v>
      </c>
    </row>
    <row r="54" spans="1:3" s="31" customFormat="1" ht="18.75" customHeight="1" x14ac:dyDescent="0.25">
      <c r="A54" s="29">
        <v>53</v>
      </c>
      <c r="B54" s="30" t="s">
        <v>51</v>
      </c>
      <c r="C54" s="31" t="s">
        <v>60</v>
      </c>
    </row>
    <row r="55" spans="1:3" s="37" customFormat="1" ht="18.75" customHeight="1" x14ac:dyDescent="0.25">
      <c r="A55" s="35">
        <v>54</v>
      </c>
      <c r="B55" s="36" t="s">
        <v>52</v>
      </c>
      <c r="C55" s="37" t="s">
        <v>62</v>
      </c>
    </row>
    <row r="56" spans="1:3" s="31" customFormat="1" ht="18.75" customHeight="1" x14ac:dyDescent="0.25">
      <c r="A56" s="29">
        <v>55</v>
      </c>
      <c r="B56" s="30" t="s">
        <v>53</v>
      </c>
      <c r="C56" s="31" t="s">
        <v>62</v>
      </c>
    </row>
    <row r="57" spans="1:3" s="37" customFormat="1" ht="18.75" customHeight="1" x14ac:dyDescent="0.25">
      <c r="A57" s="35">
        <v>56</v>
      </c>
      <c r="B57" s="36" t="s">
        <v>54</v>
      </c>
      <c r="C57" s="37" t="s">
        <v>61</v>
      </c>
    </row>
    <row r="58" spans="1:3" s="31" customFormat="1" ht="18.75" customHeight="1" x14ac:dyDescent="0.25">
      <c r="A58" s="29">
        <v>57</v>
      </c>
      <c r="B58" s="30" t="s">
        <v>55</v>
      </c>
      <c r="C58" s="31" t="s">
        <v>59</v>
      </c>
    </row>
    <row r="59" spans="1:3" s="37" customFormat="1" ht="18.75" customHeight="1" x14ac:dyDescent="0.25">
      <c r="A59" s="35">
        <v>58</v>
      </c>
      <c r="B59" s="36" t="s">
        <v>56</v>
      </c>
      <c r="C59" s="37" t="s">
        <v>62</v>
      </c>
    </row>
    <row r="60" spans="1:3" s="31" customFormat="1" ht="18.75" customHeight="1" x14ac:dyDescent="0.25">
      <c r="A60" s="29">
        <v>59</v>
      </c>
      <c r="B60" s="30" t="s">
        <v>57</v>
      </c>
      <c r="C60" s="31" t="s">
        <v>60</v>
      </c>
    </row>
    <row r="61" spans="1:3" s="38" customFormat="1" ht="18.75" customHeight="1" x14ac:dyDescent="0.2">
      <c r="A61" s="35">
        <v>60</v>
      </c>
      <c r="B61" s="36" t="s">
        <v>58</v>
      </c>
      <c r="C61" s="37" t="s">
        <v>61</v>
      </c>
    </row>
    <row r="1048572" spans="16384:16384" x14ac:dyDescent="0.2">
      <c r="XFD1048572" s="13" t="s">
        <v>59</v>
      </c>
    </row>
    <row r="1048573" spans="16384:16384" x14ac:dyDescent="0.2">
      <c r="XFD1048573" s="13" t="s">
        <v>60</v>
      </c>
    </row>
    <row r="1048574" spans="16384:16384" x14ac:dyDescent="0.2">
      <c r="XFD1048574" s="13" t="s">
        <v>61</v>
      </c>
    </row>
    <row r="1048575" spans="16384:16384" x14ac:dyDescent="0.2">
      <c r="XFD1048575" s="13" t="s">
        <v>62</v>
      </c>
    </row>
    <row r="1048576" spans="16384:16384" x14ac:dyDescent="0.2">
      <c r="XFD1048576" s="13" t="s">
        <v>63</v>
      </c>
    </row>
  </sheetData>
  <sheetProtection selectLockedCells="1"/>
  <dataValidations count="1">
    <dataValidation type="list" allowBlank="1" showInputMessage="1" showErrorMessage="1" sqref="C2:C61" xr:uid="{00000000-0002-0000-0200-000000000000}">
      <formula1>$XFD$1048572:$XFD$1048576</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1"/>
  <sheetViews>
    <sheetView tabSelected="1" topLeftCell="A28" workbookViewId="0">
      <selection activeCell="B65" sqref="B65"/>
    </sheetView>
  </sheetViews>
  <sheetFormatPr baseColWidth="10" defaultColWidth="10.7109375" defaultRowHeight="15" x14ac:dyDescent="0.25"/>
  <cols>
    <col min="1" max="1" width="4.140625" customWidth="1"/>
    <col min="2" max="2" width="12.42578125" style="2" bestFit="1" customWidth="1"/>
    <col min="3" max="3" width="7.140625" style="2" customWidth="1"/>
    <col min="6" max="6" width="11.85546875" bestFit="1" customWidth="1"/>
  </cols>
  <sheetData>
    <row r="1" spans="1:16" x14ac:dyDescent="0.25">
      <c r="A1" s="3" t="s">
        <v>64</v>
      </c>
      <c r="B1" s="2" t="s">
        <v>66</v>
      </c>
      <c r="D1" t="s">
        <v>73</v>
      </c>
      <c r="G1" t="s">
        <v>75</v>
      </c>
      <c r="H1" t="s">
        <v>74</v>
      </c>
      <c r="I1" t="s">
        <v>107</v>
      </c>
      <c r="M1" t="s">
        <v>116</v>
      </c>
      <c r="N1" t="s">
        <v>116</v>
      </c>
      <c r="O1" t="s">
        <v>124</v>
      </c>
      <c r="P1" t="s">
        <v>123</v>
      </c>
    </row>
    <row r="2" spans="1:16" x14ac:dyDescent="0.25">
      <c r="A2" s="1">
        <v>1</v>
      </c>
      <c r="B2" s="2">
        <f>IF(CUESTIONARIO!C2="1. Totalmente en desacuerdo",(1),IF(CUESTIONARIO!C2="2. En desacuerdo",(2),IF(CUESTIONARIO!C2="3. Es difícil decidir",(3),IF(CUESTIONARIO!C2="4. De acuerdo",(4),IF(CUESTIONARIO!C2="5. Totalmente de acuerdo",(5))))))</f>
        <v>2</v>
      </c>
      <c r="D2" s="4" t="s">
        <v>67</v>
      </c>
      <c r="E2">
        <f t="shared" ref="E2:E7" si="0">SUM(B2,B14,B20,B26,B32,B38,B44,B50,B56)</f>
        <v>30</v>
      </c>
      <c r="G2">
        <f>IF(E2&gt;46,(10),IF(E2&gt;44,(9),IF(E2&gt;41,(8),(IF(E2&gt;38,(7),IF(E2&gt;34,(6),IF(E2&gt;29,(5),IF(E2&gt;25,(4),IF(E2&gt;19,(3),IF(E2&gt;13,(2),IF(E2&gt;9,(1))))))))))))</f>
        <v>5</v>
      </c>
      <c r="H2">
        <f>IF(E2&gt;48,(10),IF(E2&gt;46,(9),IF(E2&gt;44,(8),(IF(E2&gt;42,(7),IF(E2&gt;39,(6),IF(E2&gt;36,(5),IF(E2&gt;32,(4),IF(E2&gt;28,(3),IF(E2&gt;23,(2),IF(E2&gt;10,(1))))))))))))</f>
        <v>3</v>
      </c>
      <c r="I2">
        <f>IF(INSTRUCCIONES!D37="FEMENINO",fórmulas!G2,IF(INSTRUCCIONES!D37="MASCULINO",fórmulas!H2))</f>
        <v>3</v>
      </c>
      <c r="L2" t="s">
        <v>117</v>
      </c>
      <c r="M2">
        <f t="shared" ref="M2:N6" si="1">G2-G3</f>
        <v>3</v>
      </c>
      <c r="N2">
        <f t="shared" si="1"/>
        <v>1</v>
      </c>
      <c r="O2" t="str">
        <f>IF(OR(M2&gt;6,M2&lt;-6),"Baja",IF(OR(M2&gt;3,M2&lt;-3),"Media",IF(OR(M2&gt;=0,M2&lt;=0),"Alta")))</f>
        <v>Alta</v>
      </c>
      <c r="P2" t="str">
        <f>IF(OR(N2&gt;6,N2&lt;-6),"Baja",IF(OR(N2&gt;3,N2&lt;-3),"Media",IF(OR(N2&gt;=0,N2&lt;=0),"Alta")))</f>
        <v>Alta</v>
      </c>
    </row>
    <row r="3" spans="1:16" x14ac:dyDescent="0.25">
      <c r="A3" s="1">
        <v>2</v>
      </c>
      <c r="B3" s="2">
        <f>IF(CUESTIONARIO!C3="1. Totalmente en desacuerdo",(1),IF(CUESTIONARIO!C3="2. En desacuerdo",(2),IF(CUESTIONARIO!C3="3. Es difícil decidir",(3),IF(CUESTIONARIO!C3="4. De acuerdo",(4),IF(CUESTIONARIO!C3="5. Totalmente de acuerdo",(5))))))</f>
        <v>3</v>
      </c>
      <c r="D3" t="s">
        <v>68</v>
      </c>
      <c r="E3">
        <f t="shared" si="0"/>
        <v>23</v>
      </c>
      <c r="G3">
        <f>IF(E3&gt;48,(10),IF(E3&gt;46,(9),IF(E3&gt;44,(8),(IF(E3&gt;41,(7),IF(E3&gt;37,(6),IF(E3&gt;33,(5),IF(E3&gt;28,(4),IF(E3&gt;23,(3),IF(E3&gt;17,(2),IF(E3&gt;9,(1))))))))))))</f>
        <v>2</v>
      </c>
      <c r="H3">
        <f>IF(E3&gt;48,(10),IF(E3&gt;46,(9),IF(E3&gt;44,(8),(IF(E3&gt;41,(7),IF(E3&gt;37,(6),IF(E3&gt;33,(5),IF(E3&gt;28,(4),IF(E3&gt;23,(3),IF(E3&gt;17,(2),IF(E3&gt;9,(1))))))))))))</f>
        <v>2</v>
      </c>
      <c r="I3">
        <f>IF(INSTRUCCIONES!D37="FEMENINO",fórmulas!G3,IF(INSTRUCCIONES!D37="MASCULINO",fórmulas!H3))</f>
        <v>2</v>
      </c>
      <c r="L3" t="s">
        <v>119</v>
      </c>
      <c r="M3">
        <f t="shared" si="1"/>
        <v>0</v>
      </c>
      <c r="N3">
        <f t="shared" si="1"/>
        <v>0</v>
      </c>
      <c r="O3" t="str">
        <f t="shared" ref="O3:P7" si="2">IF(OR(M3&gt;6,M3&lt;-6),"Baja",IF(OR(M3&gt;3,M3&lt;-3),"Media",IF(OR(M3&gt;=0,M3&lt;=0),"Alta")))</f>
        <v>Alta</v>
      </c>
      <c r="P3" t="str">
        <f t="shared" si="2"/>
        <v>Alta</v>
      </c>
    </row>
    <row r="4" spans="1:16" x14ac:dyDescent="0.25">
      <c r="A4" s="1">
        <v>3</v>
      </c>
      <c r="B4" s="2">
        <f>IF(CUESTIONARIO!C4="1. Totalmente en desacuerdo",(1),IF(CUESTIONARIO!C4="2. En desacuerdo",(2),IF(CUESTIONARIO!C4="3. Es difícil decidir",(3),IF(CUESTIONARIO!C4="4. De acuerdo",(4),IF(CUESTIONARIO!C4="5. Totalmente de acuerdo",(5))))))</f>
        <v>4</v>
      </c>
      <c r="D4" t="s">
        <v>69</v>
      </c>
      <c r="E4">
        <f t="shared" si="0"/>
        <v>20</v>
      </c>
      <c r="G4">
        <f>IF(E4&gt;47,(10),IF(E4&gt;45,(9),IF(E4&gt;42,(8),(IF(E4&gt;39,(7),IF(E4&gt;35,(6),IF(E4&gt;31,(5),IF(E4&gt;27,(4),IF(E4&gt;22,(3),IF(E4&gt;16,(2),IF(E4&gt;9,(1))))))))))))</f>
        <v>2</v>
      </c>
      <c r="H4">
        <f>IF(E4&gt;47,(10),IF(E4&gt;45,(9),IF(E4&gt;42,(8),(IF(E4&gt;39,(7),IF(E4&gt;35,(6),IF(E4&gt;31,(5),IF(E4&gt;27,(4),IF(E4&gt;22,(3),IF(E4&gt;16,(2),IF(E4&gt;9,(1))))))))))))</f>
        <v>2</v>
      </c>
      <c r="I4">
        <f>IF(INSTRUCCIONES!D37="FEMENINO",fórmulas!G4,IF(INSTRUCCIONES!D37="MASCULINO",fórmulas!H4))</f>
        <v>2</v>
      </c>
      <c r="L4" t="s">
        <v>120</v>
      </c>
      <c r="M4">
        <f t="shared" si="1"/>
        <v>-1</v>
      </c>
      <c r="N4">
        <f t="shared" si="1"/>
        <v>-2</v>
      </c>
      <c r="O4" t="str">
        <f t="shared" si="2"/>
        <v>Alta</v>
      </c>
      <c r="P4" t="str">
        <f t="shared" si="2"/>
        <v>Alta</v>
      </c>
    </row>
    <row r="5" spans="1:16" x14ac:dyDescent="0.25">
      <c r="A5" s="1">
        <v>4</v>
      </c>
      <c r="B5" s="2">
        <f>IF(CUESTIONARIO!C5="1. Totalmente en desacuerdo",(1),IF(CUESTIONARIO!C5="2. En desacuerdo",(2),IF(CUESTIONARIO!C5="3. Es difícil decidir",(3),IF(CUESTIONARIO!C5="4. De acuerdo",(4),IF(CUESTIONARIO!C5="5. Totalmente de acuerdo",(5))))))</f>
        <v>2</v>
      </c>
      <c r="D5" t="s">
        <v>70</v>
      </c>
      <c r="E5">
        <f t="shared" si="0"/>
        <v>26</v>
      </c>
      <c r="G5">
        <f>IF(E5&gt;48,(10),IF(E5&gt;46,(9),IF(E5&gt;44,(8),(IF(E5&gt;41,(7),IF(E5&gt;37,(6),IF(E5&gt;33,(5),IF(E5&gt;28,(4),IF(E5&gt;23,(3),IF(E5&gt;17,(2),IF(E5&gt;9,(1))))))))))))</f>
        <v>3</v>
      </c>
      <c r="H5">
        <f>IF(E5&gt;44,(10),IF(E5&gt;42,(9),IF(E5&gt;39,(8),(IF(E5&gt;36,(7),IF(E5&gt;32,(6),IF(E5&gt;28,(5),IF(E5&gt;24,(4),IF(E5&gt;20,(3),IF(E5&gt;15,(2),IF(E5&gt;9,(1))))))))))))</f>
        <v>4</v>
      </c>
      <c r="I5">
        <f>IF(INSTRUCCIONES!D37="FEMENINO",fórmulas!G5,IF(INSTRUCCIONES!D37="MASCULINO",fórmulas!H5))</f>
        <v>4</v>
      </c>
      <c r="L5" t="s">
        <v>118</v>
      </c>
      <c r="M5">
        <f t="shared" si="1"/>
        <v>1</v>
      </c>
      <c r="N5">
        <f t="shared" si="1"/>
        <v>3</v>
      </c>
      <c r="O5" t="str">
        <f t="shared" si="2"/>
        <v>Alta</v>
      </c>
      <c r="P5" t="str">
        <f t="shared" si="2"/>
        <v>Alta</v>
      </c>
    </row>
    <row r="6" spans="1:16" x14ac:dyDescent="0.25">
      <c r="A6" s="1">
        <v>5</v>
      </c>
      <c r="B6" s="2">
        <f>IF(CUESTIONARIO!C6="1. Totalmente en desacuerdo",(1),IF(CUESTIONARIO!C6="2. En desacuerdo",(2),IF(CUESTIONARIO!C6="3. Es difícil decidir",(3),IF(CUESTIONARIO!C6="4. De acuerdo",(4),IF(CUESTIONARIO!C6="5. Totalmente de acuerdo",(5))))))</f>
        <v>2</v>
      </c>
      <c r="D6" t="s">
        <v>71</v>
      </c>
      <c r="E6">
        <f t="shared" si="0"/>
        <v>20</v>
      </c>
      <c r="G6">
        <f>IF(E6&gt;47,(10),IF(E6&gt;45,(9),IF(E6&gt;42,(8),(IF(E6&gt;39,(7),IF(E6&gt;35,(6),IF(E6&gt;31,(5),IF(E6&gt;27,(4),IF(E6&gt;22,(3),IF(E6&gt;16,(2),IF(E6&gt;9,(1))))))))))))</f>
        <v>2</v>
      </c>
      <c r="H6">
        <f>IF(E6&gt;45,(10),IF(E6&gt;43,(9),IF(E6&gt;41,(8),(IF(E6&gt;38,(7),IF(E6&gt;35,(6),IF(E6&gt;32,(5),IF(E6&gt;29,(4),IF(E6&gt;25,(3),IF(E6&gt;21,(2),IF(E6&gt;9,(1))))))))))))</f>
        <v>1</v>
      </c>
      <c r="I6">
        <f>IF(INSTRUCCIONES!D37="FEMENINO",fórmulas!G6,IF(INSTRUCCIONES!D37="MASCULINO",fórmulas!H6))</f>
        <v>1</v>
      </c>
      <c r="L6" t="s">
        <v>121</v>
      </c>
      <c r="M6">
        <f t="shared" si="1"/>
        <v>-2</v>
      </c>
      <c r="N6">
        <f t="shared" si="1"/>
        <v>-2</v>
      </c>
      <c r="O6" t="str">
        <f t="shared" si="2"/>
        <v>Alta</v>
      </c>
      <c r="P6" t="str">
        <f t="shared" si="2"/>
        <v>Alta</v>
      </c>
    </row>
    <row r="7" spans="1:16" x14ac:dyDescent="0.25">
      <c r="A7" s="1">
        <v>6</v>
      </c>
      <c r="B7" s="2">
        <f>IF(CUESTIONARIO!C7="1. Totalmente en desacuerdo",(1),IF(CUESTIONARIO!C7="2. En desacuerdo",(2),IF(CUESTIONARIO!C7="3. Es difícil decidir",(3),IF(CUESTIONARIO!C7="4. De acuerdo",(4),IF(CUESTIONARIO!C7="5. Totalmente de acuerdo",(5))))))</f>
        <v>4</v>
      </c>
      <c r="D7" t="s">
        <v>72</v>
      </c>
      <c r="E7">
        <f t="shared" si="0"/>
        <v>33</v>
      </c>
      <c r="G7">
        <f>IF(E7&gt;48,(10),IF(E7&gt;46,(9),IF(E7&gt;44,(8),(IF(E7&gt;41,(7),IF(E7&gt;37,(6),IF(E7&gt;33,(5),IF(E7&gt;28,(4),IF(E7&gt;23,(3),IF(E7&gt;17,(2),IF(E7&gt;9,(1))))))))))))</f>
        <v>4</v>
      </c>
      <c r="H7">
        <f>IF(E7&gt;49,(10),IF(E7&gt;47,(9),IF(E7&gt;46,(8),(IF(E7&gt;43,(7),IF(E7&gt;40,(6),IF(E7&gt;37,(5),IF(E7&gt;34,(4),IF(E7&gt;30,(3),IF(E7&gt;25,(2),IF(E7&gt;9,(1))))))))))))</f>
        <v>3</v>
      </c>
      <c r="I7">
        <f>IF(INSTRUCCIONES!D37="FEMENINO",fórmulas!G7,IF(INSTRUCCIONES!D37="MASCULINO",fórmulas!H7))</f>
        <v>3</v>
      </c>
      <c r="L7" t="s">
        <v>122</v>
      </c>
      <c r="M7">
        <f>G7-G2</f>
        <v>-1</v>
      </c>
      <c r="N7">
        <f>H7-H2</f>
        <v>0</v>
      </c>
      <c r="O7" t="str">
        <f t="shared" si="2"/>
        <v>Alta</v>
      </c>
      <c r="P7" t="str">
        <f t="shared" si="2"/>
        <v>Alta</v>
      </c>
    </row>
    <row r="8" spans="1:16" x14ac:dyDescent="0.25">
      <c r="A8" s="1">
        <v>7</v>
      </c>
      <c r="B8" s="2">
        <f>IF(CUESTIONARIO!C8="1. Totalmente en desacuerdo",(1),IF(CUESTIONARIO!C8="2. En desacuerdo",(2),IF(CUESTIONARIO!C8="3. Es difícil decidir",(3),IF(CUESTIONARIO!C8="4. De acuerdo",(4),IF(CUESTIONARIO!C8="5. Totalmente de acuerdo",(5))))))</f>
        <v>3</v>
      </c>
      <c r="D8" t="s">
        <v>76</v>
      </c>
      <c r="E8">
        <f>SUM(E2:E7)</f>
        <v>152</v>
      </c>
      <c r="G8">
        <f>IF(E8&gt;276,(10),IF(E8&gt;267,(9),IF(E8&gt;261,(8),(IF(E8&gt;232,(7),IF(E8&gt;218,(6),IF(E8&gt;203,(5),IF(E8&gt;188,(4),IF(E8&gt;174,(3),IF(E8&gt;159,(2),IF(E8&gt;59,(1))))))))))))</f>
        <v>1</v>
      </c>
      <c r="H8">
        <f>IF(E8&gt;282,(10),IF(E8&gt;266,(9),IF(E8&gt;251,(8),(IF(E8&gt;235,(7),IF(E8&gt;219,(6),IF(E8&gt;204,(5),IF(E8&gt;189,(4),IF(E8&gt;173,(3),IF(E8&gt;157,(2),IF(E8&gt;59,(1))))))))))))</f>
        <v>1</v>
      </c>
      <c r="I8">
        <f>IF(INSTRUCCIONES!D37="FEMENINO",fórmulas!G8,IF(INSTRUCCIONES!D37="MASCULINO",fórmulas!H8))</f>
        <v>1</v>
      </c>
    </row>
    <row r="9" spans="1:16" x14ac:dyDescent="0.25">
      <c r="A9" s="1">
        <v>8</v>
      </c>
      <c r="B9" s="2">
        <f>IF(CUESTIONARIO!C9="1. Totalmente en desacuerdo",(1),IF(CUESTIONARIO!C9="2. En desacuerdo",(2),IF(CUESTIONARIO!C9="3. Es difícil decidir",(3),IF(CUESTIONARIO!C9="4. De acuerdo",(4),IF(CUESTIONARIO!C9="5. Totalmente de acuerdo",(5))))))</f>
        <v>2</v>
      </c>
    </row>
    <row r="10" spans="1:16" x14ac:dyDescent="0.25">
      <c r="A10" s="1">
        <v>9</v>
      </c>
      <c r="B10" s="2">
        <f>IF(CUESTIONARIO!C10="1. Totalmente en desacuerdo",(1),IF(CUESTIONARIO!C10="2. En desacuerdo",(2),IF(CUESTIONARIO!C10="3. Es difícil decidir",(3),IF(CUESTIONARIO!C10="4. De acuerdo",(4),IF(CUESTIONARIO!C10="5. Totalmente de acuerdo",(5))))))</f>
        <v>4</v>
      </c>
    </row>
    <row r="11" spans="1:16" x14ac:dyDescent="0.25">
      <c r="A11" s="1">
        <v>10</v>
      </c>
      <c r="B11" s="2">
        <f>IF(CUESTIONARIO!C11="1. Totalmente en desacuerdo",(1),IF(CUESTIONARIO!C11="2. En desacuerdo",(2),IF(CUESTIONARIO!C11="3. Es difícil decidir",(3),IF(CUESTIONARIO!C11="4. De acuerdo",(4),IF(CUESTIONARIO!C11="5. Totalmente de acuerdo",(5))))))</f>
        <v>3</v>
      </c>
      <c r="D11" t="s">
        <v>109</v>
      </c>
    </row>
    <row r="12" spans="1:16" x14ac:dyDescent="0.25">
      <c r="A12" s="1">
        <v>11</v>
      </c>
      <c r="B12" s="2">
        <f>IF(CUESTIONARIO!C12="1. Totalmente en desacuerdo",(1),IF(CUESTIONARIO!C12="2. En desacuerdo",(2),IF(CUESTIONARIO!C12="3. Es difícil decidir",(3),IF(CUESTIONARIO!C12="4. De acuerdo",(4),IF(CUESTIONARIO!C12="5. Totalmente de acuerdo",(5))))))</f>
        <v>2</v>
      </c>
      <c r="E12" s="4" t="s">
        <v>67</v>
      </c>
      <c r="F12" t="s">
        <v>68</v>
      </c>
      <c r="G12" t="s">
        <v>69</v>
      </c>
      <c r="H12" t="s">
        <v>70</v>
      </c>
      <c r="I12" t="s">
        <v>71</v>
      </c>
      <c r="J12" t="s">
        <v>72</v>
      </c>
    </row>
    <row r="13" spans="1:16" x14ac:dyDescent="0.25">
      <c r="A13" s="1">
        <v>12</v>
      </c>
      <c r="B13" s="2">
        <f>IF(CUESTIONARIO!C13="1. Totalmente en desacuerdo",(1),IF(CUESTIONARIO!C13="2. En desacuerdo",(2),IF(CUESTIONARIO!C13="3. Es difícil decidir",(3),IF(CUESTIONARIO!C13="4. De acuerdo",(4),IF(CUESTIONARIO!C13="5. Totalmente de acuerdo",(5))))))</f>
        <v>2</v>
      </c>
      <c r="D13" s="4" t="s">
        <v>67</v>
      </c>
      <c r="E13">
        <f>E2-E2</f>
        <v>0</v>
      </c>
      <c r="F13">
        <f>E3-E2</f>
        <v>-7</v>
      </c>
      <c r="G13">
        <f>E4-E2</f>
        <v>-10</v>
      </c>
      <c r="H13">
        <f>E5-E2</f>
        <v>-4</v>
      </c>
      <c r="I13">
        <f>E6-E2</f>
        <v>-10</v>
      </c>
      <c r="J13">
        <f>E7-E2</f>
        <v>3</v>
      </c>
    </row>
    <row r="14" spans="1:16" x14ac:dyDescent="0.25">
      <c r="A14" s="1">
        <v>13</v>
      </c>
      <c r="B14" s="2">
        <f>IF(CUESTIONARIO!C14="1. Totalmente en desacuerdo",(1),IF(CUESTIONARIO!C14="2. En desacuerdo",(2),IF(CUESTIONARIO!C14="3. Es difícil decidir",(3),IF(CUESTIONARIO!C14="4. De acuerdo",(4),IF(CUESTIONARIO!C14="5. Totalmente de acuerdo",(5))))))</f>
        <v>3</v>
      </c>
      <c r="D14" t="s">
        <v>68</v>
      </c>
      <c r="E14">
        <f>E2-E3</f>
        <v>7</v>
      </c>
      <c r="F14">
        <f>E3-E3</f>
        <v>0</v>
      </c>
      <c r="G14">
        <f>E4-E3</f>
        <v>-3</v>
      </c>
      <c r="H14">
        <f>E5-E3</f>
        <v>3</v>
      </c>
      <c r="I14">
        <f>E6-E3</f>
        <v>-3</v>
      </c>
      <c r="J14">
        <f>E7-E3</f>
        <v>10</v>
      </c>
    </row>
    <row r="15" spans="1:16" x14ac:dyDescent="0.25">
      <c r="A15" s="1">
        <v>14</v>
      </c>
      <c r="B15" s="2">
        <f>IF(CUESTIONARIO!C15="1. Totalmente en desacuerdo",(1),IF(CUESTIONARIO!C15="2. En desacuerdo",(2),IF(CUESTIONARIO!C15="3. Es difícil decidir",(3),IF(CUESTIONARIO!C15="4. De acuerdo",(4),IF(CUESTIONARIO!C15="5. Totalmente de acuerdo",(5))))))</f>
        <v>2</v>
      </c>
      <c r="D15" t="s">
        <v>69</v>
      </c>
      <c r="E15">
        <f>E2-E4</f>
        <v>10</v>
      </c>
      <c r="F15">
        <f>E3-E4</f>
        <v>3</v>
      </c>
      <c r="G15">
        <f>E4-E4</f>
        <v>0</v>
      </c>
      <c r="H15">
        <f>E5-E4</f>
        <v>6</v>
      </c>
      <c r="I15">
        <f>E6-E4</f>
        <v>0</v>
      </c>
      <c r="J15">
        <f>E7-E4</f>
        <v>13</v>
      </c>
    </row>
    <row r="16" spans="1:16" x14ac:dyDescent="0.25">
      <c r="A16" s="1">
        <v>15</v>
      </c>
      <c r="B16" s="2">
        <f>IF(CUESTIONARIO!C16="1. Totalmente en desacuerdo",(1),IF(CUESTIONARIO!C16="2. En desacuerdo",(2),IF(CUESTIONARIO!C16="3. Es difícil decidir",(3),IF(CUESTIONARIO!C16="4. De acuerdo",(4),IF(CUESTIONARIO!C16="5. Totalmente de acuerdo",(5))))))</f>
        <v>2</v>
      </c>
      <c r="D16" t="s">
        <v>70</v>
      </c>
      <c r="E16">
        <f>E2-E5</f>
        <v>4</v>
      </c>
      <c r="F16">
        <f>E3-E5</f>
        <v>-3</v>
      </c>
      <c r="G16">
        <f>E4-E5</f>
        <v>-6</v>
      </c>
      <c r="H16">
        <f>E5-E5</f>
        <v>0</v>
      </c>
      <c r="I16">
        <f>E6-E5</f>
        <v>-6</v>
      </c>
      <c r="J16">
        <f>E7-E5</f>
        <v>7</v>
      </c>
    </row>
    <row r="17" spans="1:10" x14ac:dyDescent="0.25">
      <c r="A17" s="1">
        <v>16</v>
      </c>
      <c r="B17" s="2">
        <f>IF(CUESTIONARIO!C17="1. Totalmente en desacuerdo",(1),IF(CUESTIONARIO!C17="2. En desacuerdo",(2),IF(CUESTIONARIO!C17="3. Es difícil decidir",(3),IF(CUESTIONARIO!C17="4. De acuerdo",(4),IF(CUESTIONARIO!C17="5. Totalmente de acuerdo",(5))))))</f>
        <v>2</v>
      </c>
      <c r="D17" t="s">
        <v>71</v>
      </c>
      <c r="E17">
        <f>E2-E6</f>
        <v>10</v>
      </c>
      <c r="F17">
        <f>E3-E6</f>
        <v>3</v>
      </c>
      <c r="G17">
        <f>E4-E6</f>
        <v>0</v>
      </c>
      <c r="H17">
        <f>E5-E6</f>
        <v>6</v>
      </c>
      <c r="I17">
        <f>E6-E6</f>
        <v>0</v>
      </c>
      <c r="J17">
        <f>E7-E6</f>
        <v>13</v>
      </c>
    </row>
    <row r="18" spans="1:10" x14ac:dyDescent="0.25">
      <c r="A18" s="1">
        <v>17</v>
      </c>
      <c r="B18" s="2">
        <f>IF(CUESTIONARIO!C18="1. Totalmente en desacuerdo",(1),IF(CUESTIONARIO!C18="2. En desacuerdo",(2),IF(CUESTIONARIO!C18="3. Es difícil decidir",(3),IF(CUESTIONARIO!C18="4. De acuerdo",(4),IF(CUESTIONARIO!C18="5. Totalmente de acuerdo",(5))))))</f>
        <v>3</v>
      </c>
      <c r="D18" t="s">
        <v>72</v>
      </c>
      <c r="E18">
        <f>E2-E7</f>
        <v>-3</v>
      </c>
      <c r="F18">
        <f>E3-E7</f>
        <v>-10</v>
      </c>
      <c r="G18">
        <f>E4-E7</f>
        <v>-13</v>
      </c>
      <c r="H18">
        <f>E5-E7</f>
        <v>-7</v>
      </c>
      <c r="I18">
        <f>E6-E7</f>
        <v>-13</v>
      </c>
      <c r="J18">
        <f>E7-E7</f>
        <v>0</v>
      </c>
    </row>
    <row r="19" spans="1:10" x14ac:dyDescent="0.25">
      <c r="A19" s="1">
        <v>18</v>
      </c>
      <c r="B19" s="2">
        <f>IF(CUESTIONARIO!C19="1. Totalmente en desacuerdo",(1),IF(CUESTIONARIO!C19="2. En desacuerdo",(2),IF(CUESTIONARIO!C19="3. Es difícil decidir",(3),IF(CUESTIONARIO!C19="4. De acuerdo",(4),IF(CUESTIONARIO!C19="5. Totalmente de acuerdo",(5))))))</f>
        <v>4</v>
      </c>
    </row>
    <row r="20" spans="1:10" x14ac:dyDescent="0.25">
      <c r="A20" s="1">
        <v>19</v>
      </c>
      <c r="B20" s="2">
        <f>IF(CUESTIONARIO!C20="1. Totalmente en desacuerdo",(1),IF(CUESTIONARIO!C20="2. En desacuerdo",(2),IF(CUESTIONARIO!C20="3. Es difícil decidir",(3),IF(CUESTIONARIO!C20="4. De acuerdo",(4),IF(CUESTIONARIO!C20="5. Totalmente de acuerdo",(5))))))</f>
        <v>2</v>
      </c>
      <c r="D20" t="s">
        <v>111</v>
      </c>
    </row>
    <row r="21" spans="1:10" x14ac:dyDescent="0.25">
      <c r="A21" s="1">
        <v>20</v>
      </c>
      <c r="B21" s="2">
        <f>IF(CUESTIONARIO!C21="1. Totalmente en desacuerdo",(1),IF(CUESTIONARIO!C21="2. En desacuerdo",(2),IF(CUESTIONARIO!C21="3. Es difícil decidir",(3),IF(CUESTIONARIO!C21="4. De acuerdo",(4),IF(CUESTIONARIO!C21="5. Totalmente de acuerdo",(5))))))</f>
        <v>3</v>
      </c>
      <c r="E21" s="4" t="s">
        <v>67</v>
      </c>
      <c r="F21" t="s">
        <v>68</v>
      </c>
      <c r="G21" t="s">
        <v>69</v>
      </c>
      <c r="H21" t="s">
        <v>70</v>
      </c>
      <c r="I21" t="s">
        <v>71</v>
      </c>
      <c r="J21" t="s">
        <v>72</v>
      </c>
    </row>
    <row r="22" spans="1:10" x14ac:dyDescent="0.25">
      <c r="A22" s="1">
        <v>21</v>
      </c>
      <c r="B22" s="2">
        <f>IF(CUESTIONARIO!C22="1. Totalmente en desacuerdo",(1),IF(CUESTIONARIO!C22="2. En desacuerdo",(2),IF(CUESTIONARIO!C22="3. Es difícil decidir",(3),IF(CUESTIONARIO!C22="4. De acuerdo",(4),IF(CUESTIONARIO!C22="5. Totalmente de acuerdo",(5))))))</f>
        <v>4</v>
      </c>
      <c r="D22" s="4" t="s">
        <v>67</v>
      </c>
      <c r="E22" t="str">
        <f t="shared" ref="E22:J22" si="3">IF(E13&gt;34,(10),IF(E13&gt;27,(9),IF(E13&gt;21,(8),(IF(E13&gt;15,(7),IF(E13&gt;11,(6),IF(E13&gt;9,(5),IF(E13&gt;7,(4),IF(E13&gt;5,(3),IF(E13&gt;4,(2),IF(E13&gt;0,(1),"-")))))))))))</f>
        <v>-</v>
      </c>
      <c r="F22" t="str">
        <f t="shared" si="3"/>
        <v>-</v>
      </c>
      <c r="G22" t="str">
        <f t="shared" si="3"/>
        <v>-</v>
      </c>
      <c r="H22" t="str">
        <f t="shared" si="3"/>
        <v>-</v>
      </c>
      <c r="I22" t="str">
        <f t="shared" si="3"/>
        <v>-</v>
      </c>
      <c r="J22">
        <f t="shared" si="3"/>
        <v>1</v>
      </c>
    </row>
    <row r="23" spans="1:10" x14ac:dyDescent="0.25">
      <c r="A23" s="1">
        <v>22</v>
      </c>
      <c r="B23" s="2">
        <f>IF(CUESTIONARIO!C23="1. Totalmente en desacuerdo",(1),IF(CUESTIONARIO!C23="2. En desacuerdo",(2),IF(CUESTIONARIO!C23="3. Es difícil decidir",(3),IF(CUESTIONARIO!C23="4. De acuerdo",(4),IF(CUESTIONARIO!C23="5. Totalmente de acuerdo",(5))))))</f>
        <v>4</v>
      </c>
      <c r="D23" t="s">
        <v>68</v>
      </c>
      <c r="E23">
        <f t="shared" ref="E23:J27" si="4">IF(E14&gt;34,(10),IF(E14&gt;27,(9),IF(E14&gt;21,(8),(IF(E14&gt;15,(7),IF(E14&gt;11,(6),IF(E14&gt;9,(5),IF(E14&gt;7,(4),IF(E14&gt;5,(3),IF(E14&gt;4,(2),IF(E14&gt;0,(1),"-")))))))))))</f>
        <v>3</v>
      </c>
      <c r="F23" t="str">
        <f t="shared" si="4"/>
        <v>-</v>
      </c>
      <c r="G23" t="str">
        <f t="shared" si="4"/>
        <v>-</v>
      </c>
      <c r="H23">
        <f t="shared" si="4"/>
        <v>1</v>
      </c>
      <c r="I23" t="str">
        <f t="shared" si="4"/>
        <v>-</v>
      </c>
      <c r="J23">
        <f t="shared" si="4"/>
        <v>5</v>
      </c>
    </row>
    <row r="24" spans="1:10" x14ac:dyDescent="0.25">
      <c r="A24" s="1">
        <v>23</v>
      </c>
      <c r="B24" s="2">
        <f>IF(CUESTIONARIO!C24="1. Totalmente en desacuerdo",(1),IF(CUESTIONARIO!C24="2. En desacuerdo",(2),IF(CUESTIONARIO!C24="3. Es difícil decidir",(3),IF(CUESTIONARIO!C24="4. De acuerdo",(4),IF(CUESTIONARIO!C24="5. Totalmente de acuerdo",(5))))))</f>
        <v>2</v>
      </c>
      <c r="D24" t="s">
        <v>69</v>
      </c>
      <c r="E24">
        <f t="shared" si="4"/>
        <v>5</v>
      </c>
      <c r="F24">
        <f t="shared" si="4"/>
        <v>1</v>
      </c>
      <c r="G24" t="str">
        <f t="shared" si="4"/>
        <v>-</v>
      </c>
      <c r="H24">
        <f t="shared" si="4"/>
        <v>3</v>
      </c>
      <c r="I24" t="str">
        <f t="shared" si="4"/>
        <v>-</v>
      </c>
      <c r="J24">
        <f t="shared" si="4"/>
        <v>6</v>
      </c>
    </row>
    <row r="25" spans="1:10" x14ac:dyDescent="0.25">
      <c r="A25" s="1">
        <v>24</v>
      </c>
      <c r="B25" s="2">
        <f>IF(CUESTIONARIO!C25="1. Totalmente en desacuerdo",(1),IF(CUESTIONARIO!C25="2. En desacuerdo",(2),IF(CUESTIONARIO!C25="3. Es difícil decidir",(3),IF(CUESTIONARIO!C25="4. De acuerdo",(4),IF(CUESTIONARIO!C25="5. Totalmente de acuerdo",(5))))))</f>
        <v>4</v>
      </c>
      <c r="D25" t="s">
        <v>70</v>
      </c>
      <c r="E25">
        <f t="shared" si="4"/>
        <v>1</v>
      </c>
      <c r="F25" t="str">
        <f t="shared" si="4"/>
        <v>-</v>
      </c>
      <c r="G25" t="str">
        <f t="shared" si="4"/>
        <v>-</v>
      </c>
      <c r="H25" t="str">
        <f t="shared" si="4"/>
        <v>-</v>
      </c>
      <c r="I25" t="str">
        <f t="shared" si="4"/>
        <v>-</v>
      </c>
      <c r="J25">
        <f t="shared" si="4"/>
        <v>3</v>
      </c>
    </row>
    <row r="26" spans="1:10" x14ac:dyDescent="0.25">
      <c r="A26" s="1">
        <v>25</v>
      </c>
      <c r="B26" s="2">
        <f>IF(CUESTIONARIO!C26="1. Totalmente en desacuerdo",(1),IF(CUESTIONARIO!C26="2. En desacuerdo",(2),IF(CUESTIONARIO!C26="3. Es difícil decidir",(3),IF(CUESTIONARIO!C26="4. De acuerdo",(4),IF(CUESTIONARIO!C26="5. Totalmente de acuerdo",(5))))))</f>
        <v>4</v>
      </c>
      <c r="D26" t="s">
        <v>71</v>
      </c>
      <c r="E26">
        <f t="shared" si="4"/>
        <v>5</v>
      </c>
      <c r="F26">
        <f t="shared" si="4"/>
        <v>1</v>
      </c>
      <c r="G26" t="str">
        <f t="shared" si="4"/>
        <v>-</v>
      </c>
      <c r="H26">
        <f t="shared" si="4"/>
        <v>3</v>
      </c>
      <c r="I26" t="str">
        <f t="shared" si="4"/>
        <v>-</v>
      </c>
      <c r="J26">
        <f t="shared" si="4"/>
        <v>6</v>
      </c>
    </row>
    <row r="27" spans="1:10" x14ac:dyDescent="0.25">
      <c r="A27" s="1">
        <v>26</v>
      </c>
      <c r="B27" s="2">
        <f>IF(CUESTIONARIO!C27="1. Totalmente en desacuerdo",(1),IF(CUESTIONARIO!C27="2. En desacuerdo",(2),IF(CUESTIONARIO!C27="3. Es difícil decidir",(3),IF(CUESTIONARIO!C27="4. De acuerdo",(4),IF(CUESTIONARIO!C27="5. Totalmente de acuerdo",(5))))))</f>
        <v>2</v>
      </c>
      <c r="D27" t="s">
        <v>72</v>
      </c>
      <c r="E27" t="str">
        <f t="shared" si="4"/>
        <v>-</v>
      </c>
      <c r="F27" t="str">
        <f t="shared" si="4"/>
        <v>-</v>
      </c>
      <c r="G27" t="str">
        <f t="shared" si="4"/>
        <v>-</v>
      </c>
      <c r="H27" t="str">
        <f t="shared" si="4"/>
        <v>-</v>
      </c>
      <c r="I27" t="str">
        <f t="shared" si="4"/>
        <v>-</v>
      </c>
      <c r="J27" t="str">
        <f t="shared" si="4"/>
        <v>-</v>
      </c>
    </row>
    <row r="28" spans="1:10" x14ac:dyDescent="0.25">
      <c r="A28" s="1">
        <v>27</v>
      </c>
      <c r="B28" s="2">
        <f>IF(CUESTIONARIO!C28="1. Totalmente en desacuerdo",(1),IF(CUESTIONARIO!C28="2. En desacuerdo",(2),IF(CUESTIONARIO!C28="3. Es difícil decidir",(3),IF(CUESTIONARIO!C28="4. De acuerdo",(4),IF(CUESTIONARIO!C28="5. Totalmente de acuerdo",(5))))))</f>
        <v>2</v>
      </c>
    </row>
    <row r="29" spans="1:10" x14ac:dyDescent="0.25">
      <c r="A29" s="1">
        <v>28</v>
      </c>
      <c r="B29" s="2">
        <f>IF(CUESTIONARIO!C29="1. Totalmente en desacuerdo",(1),IF(CUESTIONARIO!C29="2. En desacuerdo",(2),IF(CUESTIONARIO!C29="3. Es difícil decidir",(3),IF(CUESTIONARIO!C29="4. De acuerdo",(4),IF(CUESTIONARIO!C29="5. Totalmente de acuerdo",(5))))))</f>
        <v>3</v>
      </c>
      <c r="D29" t="s">
        <v>112</v>
      </c>
    </row>
    <row r="30" spans="1:10" x14ac:dyDescent="0.25">
      <c r="A30" s="1">
        <v>29</v>
      </c>
      <c r="B30" s="2">
        <f>IF(CUESTIONARIO!C30="1. Totalmente en desacuerdo",(1),IF(CUESTIONARIO!C30="2. En desacuerdo",(2),IF(CUESTIONARIO!C30="3. Es difícil decidir",(3),IF(CUESTIONARIO!C30="4. De acuerdo",(4),IF(CUESTIONARIO!C30="5. Totalmente de acuerdo",(5))))))</f>
        <v>2</v>
      </c>
      <c r="E30" s="4" t="s">
        <v>67</v>
      </c>
      <c r="F30" t="s">
        <v>68</v>
      </c>
      <c r="G30" t="s">
        <v>69</v>
      </c>
      <c r="H30" t="s">
        <v>70</v>
      </c>
      <c r="I30" t="s">
        <v>71</v>
      </c>
      <c r="J30" t="s">
        <v>72</v>
      </c>
    </row>
    <row r="31" spans="1:10" x14ac:dyDescent="0.25">
      <c r="A31" s="1">
        <v>30</v>
      </c>
      <c r="B31" s="2">
        <f>IF(CUESTIONARIO!C31="1. Totalmente en desacuerdo",(1),IF(CUESTIONARIO!C31="2. En desacuerdo",(2),IF(CUESTIONARIO!C31="3. Es difícil decidir",(3),IF(CUESTIONARIO!C31="4. De acuerdo",(4),IF(CUESTIONARIO!C31="5. Totalmente de acuerdo",(5))))))</f>
        <v>4</v>
      </c>
      <c r="D31" s="4" t="s">
        <v>67</v>
      </c>
      <c r="E31" t="str">
        <f t="shared" ref="E31:J31" si="5">IF(E13&gt;30,(10),IF(E13&gt;23,(9),IF(E13&gt;18,(8),(IF(E13&gt;13,(7),IF(E13&gt;10,(6),IF(E13&gt;7,(5),IF(E13&gt;5,(4),IF(E13&gt;4,(3),IF(E13&gt;3,(2),IF(E13&gt;0,(1),"-")))))))))))</f>
        <v>-</v>
      </c>
      <c r="F31" t="str">
        <f t="shared" si="5"/>
        <v>-</v>
      </c>
      <c r="G31" t="str">
        <f t="shared" si="5"/>
        <v>-</v>
      </c>
      <c r="H31" t="str">
        <f t="shared" si="5"/>
        <v>-</v>
      </c>
      <c r="I31" t="str">
        <f t="shared" si="5"/>
        <v>-</v>
      </c>
      <c r="J31">
        <f t="shared" si="5"/>
        <v>1</v>
      </c>
    </row>
    <row r="32" spans="1:10" x14ac:dyDescent="0.25">
      <c r="A32" s="1">
        <v>31</v>
      </c>
      <c r="B32" s="2">
        <f>IF(CUESTIONARIO!C32="1. Totalmente en desacuerdo",(1),IF(CUESTIONARIO!C32="2. En desacuerdo",(2),IF(CUESTIONARIO!C32="3. Es difícil decidir",(3),IF(CUESTIONARIO!C32="4. De acuerdo",(4),IF(CUESTIONARIO!C32="5. Totalmente de acuerdo",(5))))))</f>
        <v>4</v>
      </c>
      <c r="D32" t="s">
        <v>68</v>
      </c>
      <c r="E32">
        <f t="shared" ref="E32:J36" si="6">IF(E14&gt;30,(10),IF(E14&gt;23,(9),IF(E14&gt;18,(8),(IF(E14&gt;13,(7),IF(E14&gt;10,(6),IF(E14&gt;7,(5),IF(E14&gt;5,(4),IF(E14&gt;4,(3),IF(E14&gt;3,(2),IF(E14&gt;0,(1),"-")))))))))))</f>
        <v>4</v>
      </c>
      <c r="F32" t="str">
        <f t="shared" si="6"/>
        <v>-</v>
      </c>
      <c r="G32" t="str">
        <f t="shared" si="6"/>
        <v>-</v>
      </c>
      <c r="H32">
        <f t="shared" si="6"/>
        <v>1</v>
      </c>
      <c r="I32" t="str">
        <f t="shared" si="6"/>
        <v>-</v>
      </c>
      <c r="J32">
        <f t="shared" si="6"/>
        <v>5</v>
      </c>
    </row>
    <row r="33" spans="1:10" x14ac:dyDescent="0.25">
      <c r="A33" s="1">
        <v>32</v>
      </c>
      <c r="B33" s="2">
        <f>IF(CUESTIONARIO!C33="1. Totalmente en desacuerdo",(1),IF(CUESTIONARIO!C33="2. En desacuerdo",(2),IF(CUESTIONARIO!C33="3. Es difícil decidir",(3),IF(CUESTIONARIO!C33="4. De acuerdo",(4),IF(CUESTIONARIO!C33="5. Totalmente de acuerdo",(5))))))</f>
        <v>2</v>
      </c>
      <c r="D33" t="s">
        <v>69</v>
      </c>
      <c r="E33">
        <f t="shared" si="6"/>
        <v>5</v>
      </c>
      <c r="F33">
        <f t="shared" si="6"/>
        <v>1</v>
      </c>
      <c r="G33" t="str">
        <f t="shared" si="6"/>
        <v>-</v>
      </c>
      <c r="H33">
        <f t="shared" si="6"/>
        <v>4</v>
      </c>
      <c r="I33" t="str">
        <f t="shared" si="6"/>
        <v>-</v>
      </c>
      <c r="J33">
        <f t="shared" si="6"/>
        <v>6</v>
      </c>
    </row>
    <row r="34" spans="1:10" x14ac:dyDescent="0.25">
      <c r="A34" s="1">
        <v>33</v>
      </c>
      <c r="B34" s="2">
        <f>IF(CUESTIONARIO!C34="1. Totalmente en desacuerdo",(1),IF(CUESTIONARIO!C34="2. En desacuerdo",(2),IF(CUESTIONARIO!C34="3. Es difícil decidir",(3),IF(CUESTIONARIO!C34="4. De acuerdo",(4),IF(CUESTIONARIO!C34="5. Totalmente de acuerdo",(5))))))</f>
        <v>2</v>
      </c>
      <c r="D34" t="s">
        <v>70</v>
      </c>
      <c r="E34">
        <f t="shared" si="6"/>
        <v>2</v>
      </c>
      <c r="F34" t="str">
        <f t="shared" si="6"/>
        <v>-</v>
      </c>
      <c r="G34" t="str">
        <f t="shared" si="6"/>
        <v>-</v>
      </c>
      <c r="H34" t="str">
        <f t="shared" si="6"/>
        <v>-</v>
      </c>
      <c r="I34" t="str">
        <f t="shared" si="6"/>
        <v>-</v>
      </c>
      <c r="J34">
        <f t="shared" si="6"/>
        <v>4</v>
      </c>
    </row>
    <row r="35" spans="1:10" x14ac:dyDescent="0.25">
      <c r="A35" s="1">
        <v>34</v>
      </c>
      <c r="B35" s="2">
        <f>IF(CUESTIONARIO!C35="1. Totalmente en desacuerdo",(1),IF(CUESTIONARIO!C35="2. En desacuerdo",(2),IF(CUESTIONARIO!C35="3. Es difícil decidir",(3),IF(CUESTIONARIO!C35="4. De acuerdo",(4),IF(CUESTIONARIO!C35="5. Totalmente de acuerdo",(5))))))</f>
        <v>2</v>
      </c>
      <c r="D35" t="s">
        <v>71</v>
      </c>
      <c r="E35">
        <f t="shared" si="6"/>
        <v>5</v>
      </c>
      <c r="F35">
        <f t="shared" si="6"/>
        <v>1</v>
      </c>
      <c r="G35" t="str">
        <f t="shared" si="6"/>
        <v>-</v>
      </c>
      <c r="H35">
        <f t="shared" si="6"/>
        <v>4</v>
      </c>
      <c r="I35" t="str">
        <f t="shared" si="6"/>
        <v>-</v>
      </c>
      <c r="J35">
        <f t="shared" si="6"/>
        <v>6</v>
      </c>
    </row>
    <row r="36" spans="1:10" x14ac:dyDescent="0.25">
      <c r="A36" s="1">
        <v>35</v>
      </c>
      <c r="B36" s="2">
        <f>IF(CUESTIONARIO!C36="1. Totalmente en desacuerdo",(1),IF(CUESTIONARIO!C36="2. En desacuerdo",(2),IF(CUESTIONARIO!C36="3. Es difícil decidir",(3),IF(CUESTIONARIO!C36="4. De acuerdo",(4),IF(CUESTIONARIO!C36="5. Totalmente de acuerdo",(5))))))</f>
        <v>3</v>
      </c>
      <c r="D36" t="s">
        <v>72</v>
      </c>
      <c r="E36" t="str">
        <f t="shared" si="6"/>
        <v>-</v>
      </c>
      <c r="F36" t="str">
        <f t="shared" si="6"/>
        <v>-</v>
      </c>
      <c r="G36" t="str">
        <f t="shared" si="6"/>
        <v>-</v>
      </c>
      <c r="H36" t="str">
        <f t="shared" si="6"/>
        <v>-</v>
      </c>
      <c r="I36" t="str">
        <f t="shared" si="6"/>
        <v>-</v>
      </c>
      <c r="J36" t="str">
        <f t="shared" si="6"/>
        <v>-</v>
      </c>
    </row>
    <row r="37" spans="1:10" x14ac:dyDescent="0.25">
      <c r="A37" s="1">
        <v>36</v>
      </c>
      <c r="B37" s="2">
        <f>IF(CUESTIONARIO!C37="1. Totalmente en desacuerdo",(1),IF(CUESTIONARIO!C37="2. En desacuerdo",(2),IF(CUESTIONARIO!C37="3. Es difícil decidir",(3),IF(CUESTIONARIO!C37="4. De acuerdo",(4),IF(CUESTIONARIO!C37="5. Totalmente de acuerdo",(5))))))</f>
        <v>2</v>
      </c>
    </row>
    <row r="38" spans="1:10" x14ac:dyDescent="0.25">
      <c r="A38" s="1">
        <v>37</v>
      </c>
      <c r="B38" s="2">
        <f>IF(CUESTIONARIO!C38="1. Totalmente en desacuerdo",(1),IF(CUESTIONARIO!C38="2. En desacuerdo",(2),IF(CUESTIONARIO!C38="3. Es difícil decidir",(3),IF(CUESTIONARIO!C38="4. De acuerdo",(4),IF(CUESTIONARIO!C38="5. Totalmente de acuerdo",(5))))))</f>
        <v>4</v>
      </c>
    </row>
    <row r="39" spans="1:10" x14ac:dyDescent="0.25">
      <c r="A39" s="1">
        <v>38</v>
      </c>
      <c r="B39" s="2">
        <f>IF(CUESTIONARIO!C39="1. Totalmente en desacuerdo",(1),IF(CUESTIONARIO!C39="2. En desacuerdo",(2),IF(CUESTIONARIO!C39="3. Es difícil decidir",(3),IF(CUESTIONARIO!C39="4. De acuerdo",(4),IF(CUESTIONARIO!C39="5. Totalmente de acuerdo",(5))))))</f>
        <v>2</v>
      </c>
      <c r="D39" t="s">
        <v>113</v>
      </c>
    </row>
    <row r="40" spans="1:10" x14ac:dyDescent="0.25">
      <c r="A40" s="1">
        <v>39</v>
      </c>
      <c r="B40" s="2">
        <f>IF(CUESTIONARIO!C40="1. Totalmente en desacuerdo",(1),IF(CUESTIONARIO!C40="2. En desacuerdo",(2),IF(CUESTIONARIO!C40="3. Es difícil decidir",(3),IF(CUESTIONARIO!C40="4. De acuerdo",(4),IF(CUESTIONARIO!C40="5. Totalmente de acuerdo",(5))))))</f>
        <v>2</v>
      </c>
      <c r="E40" s="4" t="s">
        <v>67</v>
      </c>
      <c r="F40" t="s">
        <v>68</v>
      </c>
      <c r="G40" t="s">
        <v>69</v>
      </c>
      <c r="H40" t="s">
        <v>70</v>
      </c>
      <c r="I40" t="s">
        <v>71</v>
      </c>
      <c r="J40" t="s">
        <v>72</v>
      </c>
    </row>
    <row r="41" spans="1:10" x14ac:dyDescent="0.25">
      <c r="A41" s="1">
        <v>40</v>
      </c>
      <c r="B41" s="2">
        <f>IF(CUESTIONARIO!C41="1. Totalmente en desacuerdo",(1),IF(CUESTIONARIO!C41="2. En desacuerdo",(2),IF(CUESTIONARIO!C41="3. Es difícil decidir",(3),IF(CUESTIONARIO!C41="4. De acuerdo",(4),IF(CUESTIONARIO!C41="5. Totalmente de acuerdo",(5))))))</f>
        <v>4</v>
      </c>
      <c r="D41" s="4" t="s">
        <v>67</v>
      </c>
      <c r="E41" t="str">
        <f t="shared" ref="E41:J41" si="7">IF(E22="-","-",IF(E22&gt;6,"Alta",IF(E22&gt;4,"Media",IF(E22&gt;0,"Baja",IF(E22&lt;0,"-")))))</f>
        <v>-</v>
      </c>
      <c r="F41" t="str">
        <f t="shared" si="7"/>
        <v>-</v>
      </c>
      <c r="G41" t="str">
        <f t="shared" si="7"/>
        <v>-</v>
      </c>
      <c r="H41" t="str">
        <f t="shared" si="7"/>
        <v>-</v>
      </c>
      <c r="I41" t="str">
        <f t="shared" si="7"/>
        <v>-</v>
      </c>
      <c r="J41" t="str">
        <f t="shared" si="7"/>
        <v>Baja</v>
      </c>
    </row>
    <row r="42" spans="1:10" x14ac:dyDescent="0.25">
      <c r="A42" s="1">
        <v>41</v>
      </c>
      <c r="B42" s="2">
        <f>IF(CUESTIONARIO!C42="1. Totalmente en desacuerdo",(1),IF(CUESTIONARIO!C42="2. En desacuerdo",(2),IF(CUESTIONARIO!C42="3. Es difícil decidir",(3),IF(CUESTIONARIO!C42="4. De acuerdo",(4),IF(CUESTIONARIO!C42="5. Totalmente de acuerdo",(5))))))</f>
        <v>1</v>
      </c>
      <c r="D42" t="s">
        <v>68</v>
      </c>
      <c r="E42" t="str">
        <f t="shared" ref="E42:J46" si="8">IF(E23="-","-",IF(E23&gt;6,"Alta",IF(E23&gt;4,"Media",IF(E23&gt;0,"Baja",IF(E23&lt;0,"-")))))</f>
        <v>Baja</v>
      </c>
      <c r="F42" t="str">
        <f t="shared" si="8"/>
        <v>-</v>
      </c>
      <c r="G42" t="str">
        <f t="shared" si="8"/>
        <v>-</v>
      </c>
      <c r="H42" t="str">
        <f t="shared" si="8"/>
        <v>Baja</v>
      </c>
      <c r="I42" t="str">
        <f t="shared" si="8"/>
        <v>-</v>
      </c>
      <c r="J42" t="str">
        <f t="shared" si="8"/>
        <v>Media</v>
      </c>
    </row>
    <row r="43" spans="1:10" x14ac:dyDescent="0.25">
      <c r="A43" s="1">
        <v>42</v>
      </c>
      <c r="B43" s="2">
        <f>IF(CUESTIONARIO!C43="1. Totalmente en desacuerdo",(1),IF(CUESTIONARIO!C43="2. En desacuerdo",(2),IF(CUESTIONARIO!C43="3. Es difícil decidir",(3),IF(CUESTIONARIO!C43="4. De acuerdo",(4),IF(CUESTIONARIO!C43="5. Totalmente de acuerdo",(5))))))</f>
        <v>4</v>
      </c>
      <c r="D43" t="s">
        <v>69</v>
      </c>
      <c r="E43" t="str">
        <f t="shared" si="8"/>
        <v>Media</v>
      </c>
      <c r="F43" t="str">
        <f t="shared" si="8"/>
        <v>Baja</v>
      </c>
      <c r="G43" t="str">
        <f t="shared" si="8"/>
        <v>-</v>
      </c>
      <c r="H43" t="str">
        <f t="shared" si="8"/>
        <v>Baja</v>
      </c>
      <c r="I43" t="str">
        <f t="shared" si="8"/>
        <v>-</v>
      </c>
      <c r="J43" t="str">
        <f t="shared" si="8"/>
        <v>Media</v>
      </c>
    </row>
    <row r="44" spans="1:10" x14ac:dyDescent="0.25">
      <c r="A44" s="1">
        <v>43</v>
      </c>
      <c r="B44" s="2">
        <f>IF(CUESTIONARIO!C44="1. Totalmente en desacuerdo",(1),IF(CUESTIONARIO!C44="2. En desacuerdo",(2),IF(CUESTIONARIO!C44="3. Es difícil decidir",(3),IF(CUESTIONARIO!C44="4. De acuerdo",(4),IF(CUESTIONARIO!C44="5. Totalmente de acuerdo",(5))))))</f>
        <v>2</v>
      </c>
      <c r="D44" t="s">
        <v>70</v>
      </c>
      <c r="E44" t="str">
        <f t="shared" si="8"/>
        <v>Baja</v>
      </c>
      <c r="F44" t="str">
        <f t="shared" si="8"/>
        <v>-</v>
      </c>
      <c r="G44" t="str">
        <f t="shared" si="8"/>
        <v>-</v>
      </c>
      <c r="H44" t="str">
        <f t="shared" si="8"/>
        <v>-</v>
      </c>
      <c r="I44" t="str">
        <f t="shared" si="8"/>
        <v>-</v>
      </c>
      <c r="J44" t="str">
        <f t="shared" si="8"/>
        <v>Baja</v>
      </c>
    </row>
    <row r="45" spans="1:10" x14ac:dyDescent="0.25">
      <c r="A45" s="1">
        <v>44</v>
      </c>
      <c r="B45" s="2">
        <f>IF(CUESTIONARIO!C45="1. Totalmente en desacuerdo",(1),IF(CUESTIONARIO!C45="2. En desacuerdo",(2),IF(CUESTIONARIO!C45="3. Es difícil decidir",(3),IF(CUESTIONARIO!C45="4. De acuerdo",(4),IF(CUESTIONARIO!C45="5. Totalmente de acuerdo",(5))))))</f>
        <v>2</v>
      </c>
      <c r="D45" t="s">
        <v>71</v>
      </c>
      <c r="E45" t="str">
        <f t="shared" si="8"/>
        <v>Media</v>
      </c>
      <c r="F45" t="str">
        <f t="shared" si="8"/>
        <v>Baja</v>
      </c>
      <c r="G45" t="str">
        <f t="shared" si="8"/>
        <v>-</v>
      </c>
      <c r="H45" t="str">
        <f t="shared" si="8"/>
        <v>Baja</v>
      </c>
      <c r="I45" t="str">
        <f t="shared" si="8"/>
        <v>-</v>
      </c>
      <c r="J45" t="str">
        <f t="shared" si="8"/>
        <v>Media</v>
      </c>
    </row>
    <row r="46" spans="1:10" x14ac:dyDescent="0.25">
      <c r="A46" s="1">
        <v>45</v>
      </c>
      <c r="B46" s="2">
        <f>IF(CUESTIONARIO!C46="1. Totalmente en desacuerdo",(1),IF(CUESTIONARIO!C46="2. En desacuerdo",(2),IF(CUESTIONARIO!C46="3. Es difícil decidir",(3),IF(CUESTIONARIO!C46="4. De acuerdo",(4),IF(CUESTIONARIO!C46="5. Totalmente de acuerdo",(5))))))</f>
        <v>2</v>
      </c>
      <c r="D46" t="s">
        <v>72</v>
      </c>
      <c r="E46" t="str">
        <f t="shared" si="8"/>
        <v>-</v>
      </c>
      <c r="F46" t="str">
        <f t="shared" si="8"/>
        <v>-</v>
      </c>
      <c r="G46" t="str">
        <f t="shared" si="8"/>
        <v>-</v>
      </c>
      <c r="H46" t="str">
        <f t="shared" si="8"/>
        <v>-</v>
      </c>
      <c r="I46" t="str">
        <f t="shared" si="8"/>
        <v>-</v>
      </c>
      <c r="J46" t="str">
        <f t="shared" si="8"/>
        <v>-</v>
      </c>
    </row>
    <row r="47" spans="1:10" x14ac:dyDescent="0.25">
      <c r="A47" s="1">
        <v>46</v>
      </c>
      <c r="B47" s="2">
        <f>IF(CUESTIONARIO!C47="1. Totalmente en desacuerdo",(1),IF(CUESTIONARIO!C47="2. En desacuerdo",(2),IF(CUESTIONARIO!C47="3. Es difícil decidir",(3),IF(CUESTIONARIO!C47="4. De acuerdo",(4),IF(CUESTIONARIO!C47="5. Totalmente de acuerdo",(5))))))</f>
        <v>2</v>
      </c>
    </row>
    <row r="48" spans="1:10" x14ac:dyDescent="0.25">
      <c r="A48" s="1">
        <v>47</v>
      </c>
      <c r="B48" s="2">
        <f>IF(CUESTIONARIO!C48="1. Totalmente en desacuerdo",(1),IF(CUESTIONARIO!C48="2. En desacuerdo",(2),IF(CUESTIONARIO!C48="3. Es difícil decidir",(3),IF(CUESTIONARIO!C48="4. De acuerdo",(4),IF(CUESTIONARIO!C48="5. Totalmente de acuerdo",(5))))))</f>
        <v>3</v>
      </c>
      <c r="D48" t="s">
        <v>114</v>
      </c>
    </row>
    <row r="49" spans="1:10" x14ac:dyDescent="0.25">
      <c r="A49" s="1">
        <v>48</v>
      </c>
      <c r="B49" s="2">
        <f>IF(CUESTIONARIO!C49="1. Totalmente en desacuerdo",(1),IF(CUESTIONARIO!C49="2. En desacuerdo",(2),IF(CUESTIONARIO!C49="3. Es difícil decidir",(3),IF(CUESTIONARIO!C49="4. De acuerdo",(4),IF(CUESTIONARIO!C49="5. Totalmente de acuerdo",(5))))))</f>
        <v>4</v>
      </c>
      <c r="E49" s="4" t="s">
        <v>67</v>
      </c>
      <c r="F49" t="s">
        <v>68</v>
      </c>
      <c r="G49" t="s">
        <v>69</v>
      </c>
      <c r="H49" t="s">
        <v>70</v>
      </c>
      <c r="I49" t="s">
        <v>71</v>
      </c>
      <c r="J49" t="s">
        <v>72</v>
      </c>
    </row>
    <row r="50" spans="1:10" x14ac:dyDescent="0.25">
      <c r="A50" s="1">
        <v>49</v>
      </c>
      <c r="B50" s="2">
        <f>IF(CUESTIONARIO!C50="1. Totalmente en desacuerdo",(1),IF(CUESTIONARIO!C50="2. En desacuerdo",(2),IF(CUESTIONARIO!C50="3. Es difícil decidir",(3),IF(CUESTIONARIO!C50="4. De acuerdo",(4),IF(CUESTIONARIO!C50="5. Totalmente de acuerdo",(5))))))</f>
        <v>5</v>
      </c>
      <c r="D50" s="4" t="s">
        <v>67</v>
      </c>
      <c r="E50" t="str">
        <f t="shared" ref="E50:J50" si="9">IF(E31="-","-",IF(E31&gt;6,"Alta",IF(E31&gt;4,"Media",IF(E31&gt;0,"Baja",IF(E31&lt;0,"-")))))</f>
        <v>-</v>
      </c>
      <c r="F50" t="str">
        <f t="shared" si="9"/>
        <v>-</v>
      </c>
      <c r="G50" t="str">
        <f t="shared" si="9"/>
        <v>-</v>
      </c>
      <c r="H50" t="str">
        <f t="shared" si="9"/>
        <v>-</v>
      </c>
      <c r="I50" t="str">
        <f t="shared" si="9"/>
        <v>-</v>
      </c>
      <c r="J50" t="str">
        <f t="shared" si="9"/>
        <v>Baja</v>
      </c>
    </row>
    <row r="51" spans="1:10" x14ac:dyDescent="0.25">
      <c r="A51" s="1">
        <v>50</v>
      </c>
      <c r="B51" s="2">
        <f>IF(CUESTIONARIO!C51="1. Totalmente en desacuerdo",(1),IF(CUESTIONARIO!C51="2. En desacuerdo",(2),IF(CUESTIONARIO!C51="3. Es difícil decidir",(3),IF(CUESTIONARIO!C51="4. De acuerdo",(4),IF(CUESTIONARIO!C51="5. Totalmente de acuerdo",(5))))))</f>
        <v>4</v>
      </c>
      <c r="D51" t="s">
        <v>68</v>
      </c>
      <c r="E51" t="str">
        <f t="shared" ref="E51:J51" si="10">IF(E32="-","-",IF(E32&gt;6,"Alta",IF(E32&gt;4,"Media",IF(E32&gt;0,"Baja",IF(E32&lt;0,"-")))))</f>
        <v>Baja</v>
      </c>
      <c r="F51" t="str">
        <f t="shared" si="10"/>
        <v>-</v>
      </c>
      <c r="G51" t="str">
        <f t="shared" si="10"/>
        <v>-</v>
      </c>
      <c r="H51" t="str">
        <f t="shared" si="10"/>
        <v>Baja</v>
      </c>
      <c r="I51" t="str">
        <f t="shared" si="10"/>
        <v>-</v>
      </c>
      <c r="J51" t="str">
        <f t="shared" si="10"/>
        <v>Media</v>
      </c>
    </row>
    <row r="52" spans="1:10" x14ac:dyDescent="0.25">
      <c r="A52" s="1">
        <v>51</v>
      </c>
      <c r="B52" s="2">
        <f>IF(CUESTIONARIO!C52="1. Totalmente en desacuerdo",(1),IF(CUESTIONARIO!C52="2. En desacuerdo",(2),IF(CUESTIONARIO!C52="3. Es difícil decidir",(3),IF(CUESTIONARIO!C52="4. De acuerdo",(4),IF(CUESTIONARIO!C52="5. Totalmente de acuerdo",(5))))))</f>
        <v>1</v>
      </c>
      <c r="D52" t="s">
        <v>69</v>
      </c>
      <c r="E52" t="str">
        <f t="shared" ref="E52:J52" si="11">IF(E33="-","-",IF(E33&gt;6,"Alta",IF(E33&gt;4,"Media",IF(E33&gt;0,"Baja",IF(E33&lt;0,"-")))))</f>
        <v>Media</v>
      </c>
      <c r="F52" t="str">
        <f t="shared" si="11"/>
        <v>Baja</v>
      </c>
      <c r="G52" t="str">
        <f t="shared" si="11"/>
        <v>-</v>
      </c>
      <c r="H52" t="str">
        <f t="shared" si="11"/>
        <v>Baja</v>
      </c>
      <c r="I52" t="str">
        <f t="shared" si="11"/>
        <v>-</v>
      </c>
      <c r="J52" t="str">
        <f t="shared" si="11"/>
        <v>Media</v>
      </c>
    </row>
    <row r="53" spans="1:10" x14ac:dyDescent="0.25">
      <c r="A53" s="1">
        <v>52</v>
      </c>
      <c r="B53" s="2">
        <f>IF(CUESTIONARIO!C53="1. Totalmente en desacuerdo",(1),IF(CUESTIONARIO!C53="2. En desacuerdo",(2),IF(CUESTIONARIO!C53="3. Es difícil decidir",(3),IF(CUESTIONARIO!C53="4. De acuerdo",(4),IF(CUESTIONARIO!C53="5. Totalmente de acuerdo",(5))))))</f>
        <v>3</v>
      </c>
      <c r="D53" t="s">
        <v>70</v>
      </c>
      <c r="E53" t="str">
        <f t="shared" ref="E53:J53" si="12">IF(E34="-","-",IF(E34&gt;6,"Alta",IF(E34&gt;4,"Media",IF(E34&gt;0,"Baja",IF(E34&lt;0,"-")))))</f>
        <v>Baja</v>
      </c>
      <c r="F53" t="str">
        <f t="shared" si="12"/>
        <v>-</v>
      </c>
      <c r="G53" t="str">
        <f t="shared" si="12"/>
        <v>-</v>
      </c>
      <c r="H53" t="str">
        <f t="shared" si="12"/>
        <v>-</v>
      </c>
      <c r="I53" t="str">
        <f t="shared" si="12"/>
        <v>-</v>
      </c>
      <c r="J53" t="str">
        <f t="shared" si="12"/>
        <v>Baja</v>
      </c>
    </row>
    <row r="54" spans="1:10" x14ac:dyDescent="0.25">
      <c r="A54" s="1">
        <v>53</v>
      </c>
      <c r="B54" s="2">
        <f>IF(CUESTIONARIO!C54="1. Totalmente en desacuerdo",(1),IF(CUESTIONARIO!C54="2. En desacuerdo",(2),IF(CUESTIONARIO!C54="3. Es difícil decidir",(3),IF(CUESTIONARIO!C54="4. De acuerdo",(4),IF(CUESTIONARIO!C54="5. Totalmente de acuerdo",(5))))))</f>
        <v>2</v>
      </c>
      <c r="D54" t="s">
        <v>71</v>
      </c>
      <c r="E54" t="str">
        <f t="shared" ref="E54:J54" si="13">IF(E35="-","-",IF(E35&gt;6,"Alta",IF(E35&gt;4,"Media",IF(E35&gt;0,"Baja",IF(E35&lt;0,"-")))))</f>
        <v>Media</v>
      </c>
      <c r="F54" t="str">
        <f t="shared" si="13"/>
        <v>Baja</v>
      </c>
      <c r="G54" t="str">
        <f t="shared" si="13"/>
        <v>-</v>
      </c>
      <c r="H54" t="str">
        <f t="shared" si="13"/>
        <v>Baja</v>
      </c>
      <c r="I54" t="str">
        <f t="shared" si="13"/>
        <v>-</v>
      </c>
      <c r="J54" t="str">
        <f t="shared" si="13"/>
        <v>Media</v>
      </c>
    </row>
    <row r="55" spans="1:10" x14ac:dyDescent="0.25">
      <c r="A55" s="1">
        <v>54</v>
      </c>
      <c r="B55" s="2">
        <f>IF(CUESTIONARIO!C55="1. Totalmente en desacuerdo",(1),IF(CUESTIONARIO!C55="2. En desacuerdo",(2),IF(CUESTIONARIO!C55="3. Es difícil decidir",(3),IF(CUESTIONARIO!C55="4. De acuerdo",(4),IF(CUESTIONARIO!C55="5. Totalmente de acuerdo",(5))))))</f>
        <v>4</v>
      </c>
      <c r="D55" t="s">
        <v>72</v>
      </c>
      <c r="E55" t="str">
        <f t="shared" ref="E55:J55" si="14">IF(E36="-","-",IF(E36&gt;6,"Alta",IF(E36&gt;4,"Media",IF(E36&gt;0,"Baja",IF(E36&lt;0,"-")))))</f>
        <v>-</v>
      </c>
      <c r="F55" t="str">
        <f t="shared" si="14"/>
        <v>-</v>
      </c>
      <c r="G55" t="str">
        <f t="shared" si="14"/>
        <v>-</v>
      </c>
      <c r="H55" t="str">
        <f t="shared" si="14"/>
        <v>-</v>
      </c>
      <c r="I55" t="str">
        <f t="shared" si="14"/>
        <v>-</v>
      </c>
      <c r="J55" t="str">
        <f t="shared" si="14"/>
        <v>-</v>
      </c>
    </row>
    <row r="56" spans="1:10" x14ac:dyDescent="0.25">
      <c r="A56" s="1">
        <v>55</v>
      </c>
      <c r="B56" s="2">
        <f>IF(CUESTIONARIO!C56="1. Totalmente en desacuerdo",(1),IF(CUESTIONARIO!C56="2. En desacuerdo",(2),IF(CUESTIONARIO!C56="3. Es difícil decidir",(3),IF(CUESTIONARIO!C56="4. De acuerdo",(4),IF(CUESTIONARIO!C56="5. Totalmente de acuerdo",(5))))))</f>
        <v>4</v>
      </c>
    </row>
    <row r="57" spans="1:10" x14ac:dyDescent="0.25">
      <c r="A57" s="1">
        <v>56</v>
      </c>
      <c r="B57" s="2">
        <f>IF(CUESTIONARIO!C57="1. Totalmente en desacuerdo",(1),IF(CUESTIONARIO!C57="2. En desacuerdo",(2),IF(CUESTIONARIO!C57="3. Es difícil decidir",(3),IF(CUESTIONARIO!C57="4. De acuerdo",(4),IF(CUESTIONARIO!C57="5. Totalmente de acuerdo",(5))))))</f>
        <v>3</v>
      </c>
    </row>
    <row r="58" spans="1:10" x14ac:dyDescent="0.25">
      <c r="A58" s="1">
        <v>57</v>
      </c>
      <c r="B58" s="2">
        <f>IF(CUESTIONARIO!C58="1. Totalmente en desacuerdo",(1),IF(CUESTIONARIO!C58="2. En desacuerdo",(2),IF(CUESTIONARIO!C58="3. Es difícil decidir",(3),IF(CUESTIONARIO!C58="4. De acuerdo",(4),IF(CUESTIONARIO!C58="5. Totalmente de acuerdo",(5))))))</f>
        <v>1</v>
      </c>
    </row>
    <row r="59" spans="1:10" x14ac:dyDescent="0.25">
      <c r="A59" s="1">
        <v>58</v>
      </c>
      <c r="B59" s="2">
        <f>IF(CUESTIONARIO!C59="1. Totalmente en desacuerdo",(1),IF(CUESTIONARIO!C59="2. En desacuerdo",(2),IF(CUESTIONARIO!C59="3. Es difícil decidir",(3),IF(CUESTIONARIO!C59="4. De acuerdo",(4),IF(CUESTIONARIO!C59="5. Totalmente de acuerdo",(5))))))</f>
        <v>4</v>
      </c>
    </row>
    <row r="60" spans="1:10" x14ac:dyDescent="0.25">
      <c r="A60" s="1">
        <v>59</v>
      </c>
      <c r="B60" s="2">
        <f>IF(CUESTIONARIO!C60="1. Totalmente en desacuerdo",(1),IF(CUESTIONARIO!C60="2. En desacuerdo",(2),IF(CUESTIONARIO!C60="3. Es difícil decidir",(3),IF(CUESTIONARIO!C60="4. De acuerdo",(4),IF(CUESTIONARIO!C60="5. Totalmente de acuerdo",(5))))))</f>
        <v>2</v>
      </c>
    </row>
    <row r="61" spans="1:10" x14ac:dyDescent="0.25">
      <c r="A61" s="1">
        <v>60</v>
      </c>
      <c r="B61" s="2">
        <f>IF(CUESTIONARIO!C61="1. Totalmente en desacuerdo",(1),IF(CUESTIONARIO!C61="2. En desacuerdo",(2),IF(CUESTIONARIO!C61="3. Es difícil decidir",(3),IF(CUESTIONARIO!C61="4. De acuerdo",(4),IF(CUESTIONARIO!C61="5. Totalmente de acuerdo",(5))))))</f>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R109"/>
  <sheetViews>
    <sheetView showGridLines="0" view="pageBreakPreview" zoomScaleNormal="100" zoomScaleSheetLayoutView="100" workbookViewId="0">
      <selection activeCell="C27" sqref="C27"/>
    </sheetView>
  </sheetViews>
  <sheetFormatPr baseColWidth="10" defaultColWidth="10.7109375" defaultRowHeight="15" x14ac:dyDescent="0.25"/>
  <cols>
    <col min="1" max="1" width="5.140625" customWidth="1"/>
    <col min="2" max="2" width="16.42578125" bestFit="1" customWidth="1"/>
    <col min="3" max="3" width="15.7109375" customWidth="1"/>
    <col min="4" max="4" width="16.7109375" customWidth="1"/>
    <col min="5" max="6" width="15.7109375" customWidth="1"/>
    <col min="7" max="7" width="18.28515625" customWidth="1"/>
    <col min="8" max="8" width="18" customWidth="1"/>
  </cols>
  <sheetData>
    <row r="2" spans="2:18" ht="23.25" x14ac:dyDescent="0.25">
      <c r="B2" s="92" t="s">
        <v>161</v>
      </c>
      <c r="C2" s="92"/>
      <c r="D2" s="92"/>
      <c r="E2" s="92"/>
      <c r="F2" s="92"/>
      <c r="G2" s="92"/>
      <c r="H2" s="92"/>
      <c r="I2" s="6"/>
      <c r="J2" s="6"/>
      <c r="K2" s="6"/>
      <c r="L2" s="6"/>
      <c r="M2" s="6"/>
      <c r="N2" s="6"/>
      <c r="O2" s="6"/>
      <c r="P2" s="6"/>
      <c r="Q2" s="6"/>
      <c r="R2" s="6"/>
    </row>
    <row r="4" spans="2:18" ht="18.75" x14ac:dyDescent="0.3">
      <c r="B4" s="72" t="s">
        <v>166</v>
      </c>
      <c r="C4" s="72"/>
      <c r="D4" s="72"/>
      <c r="E4" s="72"/>
      <c r="F4" s="72"/>
      <c r="G4" s="72"/>
      <c r="H4" s="72"/>
    </row>
    <row r="6" spans="2:18" x14ac:dyDescent="0.25">
      <c r="B6" s="13" t="s">
        <v>162</v>
      </c>
      <c r="C6" s="94" t="str">
        <f>INSTRUCCIONES!D32</f>
        <v xml:space="preserve">JARAMILLO CAICEDO </v>
      </c>
      <c r="D6" s="94"/>
      <c r="E6" s="94" t="str">
        <f>INSTRUCCIONES!D33</f>
        <v>RUBÉN PATRICIO</v>
      </c>
      <c r="F6" s="94"/>
      <c r="G6" s="13"/>
      <c r="H6" s="13"/>
      <c r="I6" s="7"/>
    </row>
    <row r="7" spans="2:18" x14ac:dyDescent="0.25">
      <c r="B7" s="13" t="s">
        <v>163</v>
      </c>
      <c r="C7" s="13" t="str">
        <f>INSTRUCCIONES!D34</f>
        <v>3º BGU</v>
      </c>
      <c r="D7" s="13" t="str">
        <f>INSTRUCCIONES!D35</f>
        <v>A</v>
      </c>
      <c r="E7" s="13"/>
      <c r="F7" s="13"/>
      <c r="G7" s="13"/>
      <c r="H7" s="13"/>
      <c r="J7" s="8"/>
      <c r="K7" s="8"/>
      <c r="N7" s="3"/>
      <c r="O7" s="9"/>
    </row>
    <row r="8" spans="2:18" x14ac:dyDescent="0.25">
      <c r="B8" s="13" t="s">
        <v>164</v>
      </c>
      <c r="C8" s="39">
        <f>INSTRUCCIONES!D38</f>
        <v>44194</v>
      </c>
      <c r="D8" s="13"/>
      <c r="E8" s="13"/>
      <c r="F8" s="13"/>
      <c r="G8" s="13"/>
      <c r="H8" s="13"/>
      <c r="J8" s="8"/>
      <c r="K8" s="8"/>
      <c r="N8" s="3"/>
      <c r="O8" s="9"/>
    </row>
    <row r="9" spans="2:18" x14ac:dyDescent="0.25">
      <c r="B9" s="5"/>
      <c r="G9" s="5"/>
      <c r="H9" s="5"/>
      <c r="J9" s="8"/>
      <c r="K9" s="8"/>
      <c r="O9" s="9"/>
    </row>
    <row r="10" spans="2:18" ht="18.75" x14ac:dyDescent="0.3">
      <c r="B10" s="72" t="s">
        <v>167</v>
      </c>
      <c r="C10" s="72"/>
      <c r="D10" s="72"/>
      <c r="E10" s="72"/>
      <c r="F10" s="72"/>
      <c r="G10" s="72"/>
      <c r="H10" s="72"/>
      <c r="I10" s="5"/>
      <c r="J10" s="5"/>
      <c r="N10" s="5"/>
      <c r="O10" s="5"/>
      <c r="P10" s="5"/>
      <c r="Q10" s="5"/>
      <c r="R10" s="5"/>
    </row>
    <row r="11" spans="2:18" x14ac:dyDescent="0.25">
      <c r="B11" s="3"/>
      <c r="C11" s="3"/>
      <c r="D11" s="3"/>
      <c r="E11" s="3"/>
      <c r="F11" s="3"/>
      <c r="G11" s="3"/>
      <c r="H11" s="3"/>
      <c r="I11" s="3"/>
      <c r="J11" s="3"/>
      <c r="N11" s="3"/>
      <c r="O11" s="3"/>
      <c r="P11" s="3"/>
      <c r="Q11" s="3"/>
      <c r="R11" s="3"/>
    </row>
    <row r="12" spans="2:18" x14ac:dyDescent="0.25">
      <c r="B12" s="93"/>
      <c r="C12" s="93"/>
      <c r="D12" s="13"/>
      <c r="E12" s="13"/>
      <c r="F12" s="13"/>
      <c r="G12" s="88" t="s">
        <v>174</v>
      </c>
      <c r="H12" s="88"/>
    </row>
    <row r="13" spans="2:18" x14ac:dyDescent="0.25">
      <c r="B13" s="93" t="s">
        <v>165</v>
      </c>
      <c r="C13" s="93"/>
      <c r="D13" s="40" t="s">
        <v>137</v>
      </c>
      <c r="E13" s="87" t="str">
        <f>ENCUESTA!C4</f>
        <v>MEDICINA</v>
      </c>
      <c r="F13" s="87"/>
      <c r="G13" s="89"/>
      <c r="H13" s="89"/>
    </row>
    <row r="14" spans="2:18" x14ac:dyDescent="0.25">
      <c r="B14" s="24"/>
      <c r="C14" s="24"/>
      <c r="D14" s="40" t="s">
        <v>138</v>
      </c>
      <c r="E14" s="57" t="str">
        <f>ENCUESTA!C5</f>
        <v>SISTEMAS</v>
      </c>
      <c r="F14" s="57"/>
      <c r="G14" s="90"/>
      <c r="H14" s="90"/>
    </row>
    <row r="15" spans="2:18" x14ac:dyDescent="0.25">
      <c r="B15" s="24"/>
      <c r="C15" s="24"/>
      <c r="D15" s="40" t="s">
        <v>139</v>
      </c>
      <c r="E15" s="87" t="str">
        <f>ENCUESTA!C6</f>
        <v>ELECTRICIDAD</v>
      </c>
      <c r="F15" s="87"/>
      <c r="G15" s="89"/>
      <c r="H15" s="89"/>
    </row>
    <row r="16" spans="2:18" x14ac:dyDescent="0.25">
      <c r="B16" s="3"/>
      <c r="C16" s="3"/>
      <c r="D16" s="3"/>
      <c r="E16" s="3"/>
    </row>
    <row r="19" spans="2:8" ht="18.75" x14ac:dyDescent="0.3">
      <c r="B19" s="72" t="s">
        <v>223</v>
      </c>
      <c r="C19" s="72"/>
      <c r="D19" s="72"/>
      <c r="E19" s="72"/>
      <c r="F19" s="72"/>
      <c r="G19" s="72"/>
      <c r="H19" s="72"/>
    </row>
    <row r="23" spans="2:8" x14ac:dyDescent="0.25">
      <c r="B23" s="70" t="s">
        <v>126</v>
      </c>
      <c r="C23" s="70"/>
    </row>
    <row r="24" spans="2:8" x14ac:dyDescent="0.25">
      <c r="B24" s="46" t="s">
        <v>67</v>
      </c>
      <c r="C24" s="32">
        <f>fórmulas!I2</f>
        <v>3</v>
      </c>
    </row>
    <row r="25" spans="2:8" x14ac:dyDescent="0.25">
      <c r="B25" s="18" t="s">
        <v>68</v>
      </c>
      <c r="C25" s="41">
        <f>fórmulas!I3</f>
        <v>2</v>
      </c>
    </row>
    <row r="26" spans="2:8" x14ac:dyDescent="0.25">
      <c r="B26" s="34" t="s">
        <v>69</v>
      </c>
      <c r="C26" s="32">
        <f>fórmulas!I4</f>
        <v>2</v>
      </c>
    </row>
    <row r="27" spans="2:8" x14ac:dyDescent="0.25">
      <c r="B27" s="18" t="s">
        <v>70</v>
      </c>
      <c r="C27" s="41">
        <f>fórmulas!I5</f>
        <v>4</v>
      </c>
    </row>
    <row r="28" spans="2:8" x14ac:dyDescent="0.25">
      <c r="B28" s="34" t="s">
        <v>71</v>
      </c>
      <c r="C28" s="32">
        <f>fórmulas!I6</f>
        <v>1</v>
      </c>
    </row>
    <row r="29" spans="2:8" x14ac:dyDescent="0.25">
      <c r="B29" s="18" t="s">
        <v>72</v>
      </c>
      <c r="C29" s="41">
        <f>fórmulas!I7</f>
        <v>3</v>
      </c>
    </row>
    <row r="30" spans="2:8" x14ac:dyDescent="0.25">
      <c r="B30" s="13"/>
      <c r="C30" s="29"/>
    </row>
    <row r="31" spans="2:8" x14ac:dyDescent="0.25">
      <c r="B31" s="13"/>
      <c r="C31" s="13"/>
    </row>
    <row r="32" spans="2:8" x14ac:dyDescent="0.25">
      <c r="B32" s="13"/>
      <c r="C32" s="13"/>
    </row>
    <row r="33" spans="2:8" x14ac:dyDescent="0.25">
      <c r="B33" s="70" t="s">
        <v>108</v>
      </c>
      <c r="C33" s="70"/>
    </row>
    <row r="34" spans="2:8" x14ac:dyDescent="0.25">
      <c r="B34" s="34" t="s">
        <v>110</v>
      </c>
      <c r="C34" s="32" t="str">
        <f>IF(fórmulas!I8&gt;6,"Alta",IF(fórmulas!I8&gt;4,"Media",IF(fórmulas!I8&gt;0,"Baja")))</f>
        <v>Baja</v>
      </c>
    </row>
    <row r="35" spans="2:8" x14ac:dyDescent="0.25">
      <c r="C35" s="1"/>
    </row>
    <row r="36" spans="2:8" x14ac:dyDescent="0.25">
      <c r="C36" s="1"/>
    </row>
    <row r="38" spans="2:8" x14ac:dyDescent="0.25">
      <c r="B38" s="70" t="s">
        <v>115</v>
      </c>
      <c r="C38" s="70"/>
      <c r="D38" s="70"/>
      <c r="E38" s="70"/>
      <c r="F38" s="70"/>
      <c r="G38" s="70"/>
      <c r="H38" s="70"/>
    </row>
    <row r="39" spans="2:8" x14ac:dyDescent="0.25">
      <c r="B39" s="42"/>
      <c r="C39" s="47" t="s">
        <v>67</v>
      </c>
      <c r="D39" s="48" t="s">
        <v>68</v>
      </c>
      <c r="E39" s="47" t="s">
        <v>69</v>
      </c>
      <c r="F39" s="48" t="s">
        <v>70</v>
      </c>
      <c r="G39" s="47" t="s">
        <v>71</v>
      </c>
      <c r="H39" s="48" t="s">
        <v>72</v>
      </c>
    </row>
    <row r="40" spans="2:8" x14ac:dyDescent="0.25">
      <c r="B40" s="46" t="s">
        <v>67</v>
      </c>
      <c r="C40" s="43" t="str">
        <f>IF(INSTRUCCIONES!D37="FEMENINO",fórmulas!E41,IF(INSTRUCCIONES!D37="MASCULINO",fórmulas!E50))</f>
        <v>-</v>
      </c>
      <c r="D40" s="24" t="str">
        <f>IF(INSTRUCCIONES!D37="FEMENINO",fórmulas!F41,IF(INSTRUCCIONES!D37="MASCULINO",fórmulas!F50))</f>
        <v>-</v>
      </c>
      <c r="E40" s="43" t="str">
        <f>IF(INSTRUCCIONES!D37="FEMENINO",fórmulas!G41,IF(INSTRUCCIONES!D37="MASCULINO",fórmulas!G50))</f>
        <v>-</v>
      </c>
      <c r="F40" s="24" t="str">
        <f>IF(INSTRUCCIONES!D37="FEMENINO",fórmulas!H41,IF(INSTRUCCIONES!D37="MASCULINO",fórmulas!H50))</f>
        <v>-</v>
      </c>
      <c r="G40" s="43" t="str">
        <f>IF(INSTRUCCIONES!D37="FEMENINO",fórmulas!I41,IF(INSTRUCCIONES!D37="MASCULINO",fórmulas!I50))</f>
        <v>-</v>
      </c>
      <c r="H40" s="24" t="str">
        <f>IF(INSTRUCCIONES!D37="FEMENINO",fórmulas!J41,IF(INSTRUCCIONES!D37="MASCULINO",fórmulas!J50))</f>
        <v>Baja</v>
      </c>
    </row>
    <row r="41" spans="2:8" x14ac:dyDescent="0.25">
      <c r="B41" s="18" t="s">
        <v>68</v>
      </c>
      <c r="C41" s="24" t="str">
        <f>IF(INSTRUCCIONES!D37="FEMENINO",fórmulas!E42,IF(INSTRUCCIONES!D37="MASCULINO",fórmulas!E51))</f>
        <v>Baja</v>
      </c>
      <c r="D41" s="44" t="str">
        <f>IF(INSTRUCCIONES!D37="FEMENINO",fórmulas!F42,IF(INSTRUCCIONES!D37="MASCULINO",fórmulas!F51))</f>
        <v>-</v>
      </c>
      <c r="E41" s="24" t="str">
        <f>IF(INSTRUCCIONES!D37="FEMENINO",fórmulas!G42,IF(INSTRUCCIONES!D37="MASCULINO",fórmulas!G51))</f>
        <v>-</v>
      </c>
      <c r="F41" s="44" t="str">
        <f>IF(INSTRUCCIONES!D37="FEMENINO",fórmulas!H42,IF(INSTRUCCIONES!D37="MASCULINO",fórmulas!H51))</f>
        <v>Baja</v>
      </c>
      <c r="G41" s="24" t="str">
        <f>IF(INSTRUCCIONES!D37="FEMENINO",fórmulas!I42,IF(INSTRUCCIONES!D37="MASCULINO",fórmulas!I51))</f>
        <v>-</v>
      </c>
      <c r="H41" s="44" t="str">
        <f>IF(INSTRUCCIONES!D37="FEMENINO",fórmulas!J42,IF(INSTRUCCIONES!D37="MASCULINO",fórmulas!J51))</f>
        <v>Media</v>
      </c>
    </row>
    <row r="42" spans="2:8" x14ac:dyDescent="0.25">
      <c r="B42" s="34" t="s">
        <v>69</v>
      </c>
      <c r="C42" s="43" t="str">
        <f>IF(INSTRUCCIONES!D37="FEMENINO",fórmulas!E43,IF(INSTRUCCIONES!D37="MASCULINO",fórmulas!E52))</f>
        <v>Media</v>
      </c>
      <c r="D42" s="24" t="str">
        <f>IF(INSTRUCCIONES!D37="FEMENINO",fórmulas!F43,IF(INSTRUCCIONES!D37="MASCULINO",fórmulas!F52))</f>
        <v>Baja</v>
      </c>
      <c r="E42" s="43" t="str">
        <f>IF(INSTRUCCIONES!D37="FEMENINO",fórmulas!G43,IF(INSTRUCCIONES!D37="MASCULINO",fórmulas!G52))</f>
        <v>-</v>
      </c>
      <c r="F42" s="24" t="str">
        <f>IF(INSTRUCCIONES!D37="FEMENINO",fórmulas!H43,IF(INSTRUCCIONES!D37="MASCULINO",fórmulas!H52))</f>
        <v>Baja</v>
      </c>
      <c r="G42" s="43" t="str">
        <f>IF(INSTRUCCIONES!D37="FEMENINO",fórmulas!I43,IF(INSTRUCCIONES!D37="MASCULINO",fórmulas!I52))</f>
        <v>-</v>
      </c>
      <c r="H42" s="24" t="str">
        <f>IF(INSTRUCCIONES!D37="FEMENINO",fórmulas!J43,IF(INSTRUCCIONES!D37="MASCULINO",fórmulas!J52))</f>
        <v>Media</v>
      </c>
    </row>
    <row r="43" spans="2:8" x14ac:dyDescent="0.25">
      <c r="B43" s="18" t="s">
        <v>70</v>
      </c>
      <c r="C43" s="24" t="str">
        <f>IF(INSTRUCCIONES!D37="FEMENINO",fórmulas!E44,IF(INSTRUCCIONES!D37="MASCULINO",fórmulas!E53))</f>
        <v>Baja</v>
      </c>
      <c r="D43" s="44" t="str">
        <f>IF(INSTRUCCIONES!D37="FEMENINO",fórmulas!F44,IF(INSTRUCCIONES!D37="MASCULINO",fórmulas!F53))</f>
        <v>-</v>
      </c>
      <c r="E43" s="24" t="str">
        <f>IF(INSTRUCCIONES!D37="FEMENINO",fórmulas!G44,IF(INSTRUCCIONES!D37="MASCULINO",fórmulas!G53))</f>
        <v>-</v>
      </c>
      <c r="F43" s="44" t="str">
        <f>IF(INSTRUCCIONES!D37="FEMENINO",fórmulas!H44,IF(INSTRUCCIONES!D37="MASCULINO",fórmulas!H53))</f>
        <v>-</v>
      </c>
      <c r="G43" s="24" t="str">
        <f>IF(INSTRUCCIONES!D37="FEMENINO",fórmulas!I44,IF(INSTRUCCIONES!D37="MASCULINO",fórmulas!I53))</f>
        <v>-</v>
      </c>
      <c r="H43" s="44" t="str">
        <f>IF(INSTRUCCIONES!D37="FEMENINO",fórmulas!J44,IF(INSTRUCCIONES!D37="MASCULINO",fórmulas!J53))</f>
        <v>Baja</v>
      </c>
    </row>
    <row r="44" spans="2:8" x14ac:dyDescent="0.25">
      <c r="B44" s="34" t="s">
        <v>71</v>
      </c>
      <c r="C44" s="43" t="str">
        <f>IF(INSTRUCCIONES!D37="FEMENINO",fórmulas!E45,IF(INSTRUCCIONES!D37="MASCULINO",fórmulas!E54))</f>
        <v>Media</v>
      </c>
      <c r="D44" s="24" t="str">
        <f>IF(INSTRUCCIONES!D37="FEMENINO",fórmulas!F45,IF(INSTRUCCIONES!D37="MASCULINO",fórmulas!F54))</f>
        <v>Baja</v>
      </c>
      <c r="E44" s="43" t="str">
        <f>IF(INSTRUCCIONES!D37="FEMENINO",fórmulas!G45,IF(INSTRUCCIONES!D37="MASCULINO",fórmulas!G54))</f>
        <v>-</v>
      </c>
      <c r="F44" s="24" t="str">
        <f>IF(INSTRUCCIONES!D37="FEMENINO",fórmulas!H45,IF(INSTRUCCIONES!D37="MASCULINO",fórmulas!H54))</f>
        <v>Baja</v>
      </c>
      <c r="G44" s="43" t="str">
        <f>IF(INSTRUCCIONES!D37="FEMENINO",fórmulas!I45,IF(INSTRUCCIONES!D37="MASCULINO",fórmulas!I54))</f>
        <v>-</v>
      </c>
      <c r="H44" s="24" t="str">
        <f>IF(INSTRUCCIONES!D37="FEMENINO",fórmulas!J45,IF(INSTRUCCIONES!D37="MASCULINO",fórmulas!J54))</f>
        <v>Media</v>
      </c>
    </row>
    <row r="45" spans="2:8" x14ac:dyDescent="0.25">
      <c r="B45" s="18" t="s">
        <v>72</v>
      </c>
      <c r="C45" s="24" t="str">
        <f>IF(INSTRUCCIONES!D37="FEMENINO",fórmulas!E46,IF(INSTRUCCIONES!D37="MASCULINO",fórmulas!E55))</f>
        <v>-</v>
      </c>
      <c r="D45" s="44" t="str">
        <f>IF(INSTRUCCIONES!D37="FEMENINO",fórmulas!F46,IF(INSTRUCCIONES!D37="MASCULINO",fórmulas!F55))</f>
        <v>-</v>
      </c>
      <c r="E45" s="24" t="str">
        <f>IF(INSTRUCCIONES!D37="FEMENINO",fórmulas!G46,IF(INSTRUCCIONES!D37="MASCULINO",fórmulas!G55))</f>
        <v>-</v>
      </c>
      <c r="F45" s="44" t="str">
        <f>IF(INSTRUCCIONES!D37="FEMENINO",fórmulas!H46,IF(INSTRUCCIONES!D37="MASCULINO",fórmulas!H55))</f>
        <v>-</v>
      </c>
      <c r="G45" s="24" t="str">
        <f>IF(INSTRUCCIONES!D37="FEMENINO",fórmulas!I46,IF(INSTRUCCIONES!D37="MASCULINO",fórmulas!I55))</f>
        <v>-</v>
      </c>
      <c r="H45" s="44" t="str">
        <f>IF(INSTRUCCIONES!D37="FEMENINO",fórmulas!J46,IF(INSTRUCCIONES!D37="MASCULINO",fórmulas!J55))</f>
        <v>-</v>
      </c>
    </row>
    <row r="48" spans="2:8" x14ac:dyDescent="0.25">
      <c r="B48" s="70" t="s">
        <v>125</v>
      </c>
      <c r="C48" s="70"/>
      <c r="D48" s="70"/>
      <c r="F48" s="70" t="s">
        <v>222</v>
      </c>
      <c r="G48" s="70"/>
      <c r="H48" s="70"/>
    </row>
    <row r="49" spans="2:8" ht="15" customHeight="1" x14ac:dyDescent="0.25">
      <c r="B49" s="74" t="s">
        <v>117</v>
      </c>
      <c r="C49" s="74"/>
      <c r="D49" s="43" t="str">
        <f>IF(INSTRUCCIONES!D37="FEMENINO",fórmulas!O2,IF(INSTRUCCIONES!D37="MASCULINO",fórmulas!P2))</f>
        <v>Alta</v>
      </c>
      <c r="F49" s="13"/>
      <c r="G49" s="13"/>
      <c r="H49" s="13"/>
    </row>
    <row r="50" spans="2:8" ht="15" customHeight="1" x14ac:dyDescent="0.3">
      <c r="B50" s="91" t="s">
        <v>119</v>
      </c>
      <c r="C50" s="91"/>
      <c r="D50" s="44" t="str">
        <f>IF(INSTRUCCIONES!D37="FEMENINO",fórmulas!O3,IF(INSTRUCCIONES!D37="MASCULINO",fórmulas!P3))</f>
        <v>Alta</v>
      </c>
      <c r="F50" s="71"/>
      <c r="G50" s="71"/>
      <c r="H50" s="71"/>
    </row>
    <row r="51" spans="2:8" ht="15" customHeight="1" x14ac:dyDescent="0.3">
      <c r="B51" s="74" t="s">
        <v>120</v>
      </c>
      <c r="C51" s="74"/>
      <c r="D51" s="43" t="str">
        <f>IF(INSTRUCCIONES!D37="FEMENINO",fórmulas!O4,IF(INSTRUCCIONES!D37="MASCULINO",fórmulas!P4))</f>
        <v>Alta</v>
      </c>
      <c r="F51" s="71"/>
      <c r="G51" s="71"/>
      <c r="H51" s="71"/>
    </row>
    <row r="52" spans="2:8" ht="15" customHeight="1" x14ac:dyDescent="0.3">
      <c r="B52" s="91" t="s">
        <v>118</v>
      </c>
      <c r="C52" s="91"/>
      <c r="D52" s="44" t="str">
        <f>IF(INSTRUCCIONES!D37="FEMENINO",fórmulas!O5,IF(INSTRUCCIONES!D37="MASCULINO",fórmulas!P5))</f>
        <v>Alta</v>
      </c>
      <c r="F52" s="71"/>
      <c r="G52" s="71"/>
      <c r="H52" s="71"/>
    </row>
    <row r="53" spans="2:8" ht="15" customHeight="1" x14ac:dyDescent="0.3">
      <c r="B53" s="74" t="s">
        <v>121</v>
      </c>
      <c r="C53" s="74"/>
      <c r="D53" s="43" t="str">
        <f>IF(INSTRUCCIONES!D37="FEMENINO",fórmulas!O6,IF(INSTRUCCIONES!D37="MASCULINO",fórmulas!P6))</f>
        <v>Alta</v>
      </c>
      <c r="F53" s="71"/>
      <c r="G53" s="71"/>
      <c r="H53" s="71"/>
    </row>
    <row r="54" spans="2:8" ht="15" customHeight="1" x14ac:dyDescent="0.3">
      <c r="B54" s="91" t="s">
        <v>122</v>
      </c>
      <c r="C54" s="91"/>
      <c r="D54" s="44" t="str">
        <f>IF(INSTRUCCIONES!D37="FEMENINO",fórmulas!O7,IF(INSTRUCCIONES!D37="MASCULINO",fórmulas!P7))</f>
        <v>Alta</v>
      </c>
      <c r="F54" s="71"/>
      <c r="G54" s="71"/>
      <c r="H54" s="71"/>
    </row>
    <row r="55" spans="2:8" ht="15" customHeight="1" x14ac:dyDescent="0.3">
      <c r="B55" s="16"/>
      <c r="C55" s="16"/>
      <c r="D55" s="24"/>
      <c r="F55" s="71"/>
      <c r="G55" s="71"/>
      <c r="H55" s="71"/>
    </row>
    <row r="56" spans="2:8" ht="15" customHeight="1" x14ac:dyDescent="0.3">
      <c r="B56" s="70" t="s">
        <v>213</v>
      </c>
      <c r="C56" s="70"/>
      <c r="D56" s="70"/>
      <c r="F56" s="71"/>
      <c r="G56" s="71"/>
      <c r="H56" s="71"/>
    </row>
    <row r="57" spans="2:8" ht="15" customHeight="1" x14ac:dyDescent="0.3">
      <c r="B57" s="74" t="s">
        <v>171</v>
      </c>
      <c r="C57" s="74"/>
      <c r="D57" s="43"/>
      <c r="F57" s="71"/>
      <c r="G57" s="71"/>
      <c r="H57" s="71"/>
    </row>
    <row r="58" spans="2:8" ht="15.75" x14ac:dyDescent="0.3">
      <c r="B58" s="91" t="s">
        <v>172</v>
      </c>
      <c r="C58" s="91"/>
      <c r="D58" s="44"/>
      <c r="F58" s="71"/>
      <c r="G58" s="71"/>
      <c r="H58" s="71"/>
    </row>
    <row r="59" spans="2:8" ht="15.75" x14ac:dyDescent="0.3">
      <c r="B59" s="74" t="s">
        <v>173</v>
      </c>
      <c r="C59" s="74"/>
      <c r="D59" s="43"/>
      <c r="F59" s="71"/>
      <c r="G59" s="71"/>
      <c r="H59" s="71"/>
    </row>
    <row r="60" spans="2:8" x14ac:dyDescent="0.25">
      <c r="B60" s="11"/>
      <c r="C60" s="11"/>
      <c r="D60" s="2"/>
      <c r="F60" s="3"/>
      <c r="G60" s="3"/>
      <c r="H60" s="3"/>
    </row>
    <row r="61" spans="2:8" x14ac:dyDescent="0.25">
      <c r="B61" s="11"/>
      <c r="C61" s="11"/>
      <c r="D61" s="2"/>
      <c r="F61" s="3"/>
      <c r="G61" s="3"/>
      <c r="H61" s="3"/>
    </row>
    <row r="62" spans="2:8" x14ac:dyDescent="0.25">
      <c r="B62" s="11"/>
      <c r="C62" s="11"/>
      <c r="D62" s="2"/>
      <c r="F62" s="3"/>
      <c r="G62" s="3"/>
      <c r="H62" s="3"/>
    </row>
    <row r="63" spans="2:8" ht="18.75" x14ac:dyDescent="0.3">
      <c r="B63" s="72" t="s">
        <v>227</v>
      </c>
      <c r="C63" s="72"/>
      <c r="D63" s="72"/>
      <c r="E63" s="72"/>
      <c r="F63" s="72"/>
      <c r="G63" s="72"/>
      <c r="H63" s="72"/>
    </row>
    <row r="64" spans="2:8" x14ac:dyDescent="0.25">
      <c r="B64" s="11"/>
      <c r="C64" s="11"/>
      <c r="D64" s="2"/>
      <c r="F64" s="3"/>
      <c r="G64" s="3"/>
      <c r="H64" s="3"/>
    </row>
    <row r="65" spans="2:8" x14ac:dyDescent="0.25">
      <c r="B65" s="73" t="s">
        <v>224</v>
      </c>
      <c r="C65" s="73"/>
      <c r="D65" s="73"/>
      <c r="F65" s="67"/>
      <c r="G65" s="67"/>
      <c r="H65" s="67"/>
    </row>
    <row r="66" spans="2:8" x14ac:dyDescent="0.25">
      <c r="B66" s="73" t="s">
        <v>225</v>
      </c>
      <c r="C66" s="73"/>
      <c r="D66" s="73"/>
      <c r="F66" s="67"/>
      <c r="G66" s="67"/>
      <c r="H66" s="67"/>
    </row>
    <row r="67" spans="2:8" ht="30" customHeight="1" x14ac:dyDescent="0.25">
      <c r="B67" s="66" t="s">
        <v>226</v>
      </c>
      <c r="C67" s="66"/>
      <c r="D67" s="66"/>
      <c r="F67" s="67"/>
      <c r="G67" s="67"/>
      <c r="H67" s="67"/>
    </row>
    <row r="68" spans="2:8" x14ac:dyDescent="0.25">
      <c r="B68" s="11"/>
      <c r="C68" s="11"/>
      <c r="D68" s="2"/>
      <c r="F68" s="3"/>
      <c r="G68" s="3"/>
      <c r="H68" s="3"/>
    </row>
    <row r="69" spans="2:8" x14ac:dyDescent="0.25">
      <c r="B69" s="11"/>
      <c r="C69" s="11"/>
      <c r="D69" s="2"/>
      <c r="F69" s="3"/>
      <c r="G69" s="3"/>
      <c r="H69" s="3"/>
    </row>
    <row r="70" spans="2:8" x14ac:dyDescent="0.25">
      <c r="B70" s="11"/>
      <c r="C70" s="11"/>
      <c r="D70" s="2"/>
      <c r="F70" s="3"/>
      <c r="G70" s="3"/>
      <c r="H70" s="3"/>
    </row>
    <row r="71" spans="2:8" ht="37.5" customHeight="1" x14ac:dyDescent="0.3">
      <c r="B71" s="68" t="s">
        <v>228</v>
      </c>
      <c r="C71" s="68"/>
      <c r="D71" s="68"/>
      <c r="E71" s="68"/>
      <c r="F71" s="68"/>
      <c r="G71" s="68"/>
      <c r="H71" s="68"/>
    </row>
    <row r="73" spans="2:8" s="10" customFormat="1" x14ac:dyDescent="0.25">
      <c r="B73" s="45" t="s">
        <v>174</v>
      </c>
      <c r="C73" s="45" t="s">
        <v>175</v>
      </c>
      <c r="D73" s="69" t="s">
        <v>176</v>
      </c>
      <c r="E73" s="69"/>
      <c r="F73" s="69"/>
      <c r="G73" s="69"/>
      <c r="H73" s="69"/>
    </row>
    <row r="74" spans="2:8" ht="26.25" customHeight="1" x14ac:dyDescent="0.25">
      <c r="B74" s="83" t="s">
        <v>216</v>
      </c>
      <c r="C74" s="75" t="s">
        <v>200</v>
      </c>
      <c r="D74" s="85" t="s">
        <v>177</v>
      </c>
      <c r="E74" s="85"/>
      <c r="F74" s="85"/>
      <c r="G74" s="85"/>
      <c r="H74" s="85"/>
    </row>
    <row r="75" spans="2:8" ht="26.25" customHeight="1" x14ac:dyDescent="0.25">
      <c r="B75" s="83"/>
      <c r="C75" s="75"/>
      <c r="D75" s="86" t="s">
        <v>178</v>
      </c>
      <c r="E75" s="86"/>
      <c r="F75" s="86"/>
      <c r="G75" s="86"/>
      <c r="H75" s="86"/>
    </row>
    <row r="76" spans="2:8" ht="26.25" customHeight="1" x14ac:dyDescent="0.25">
      <c r="B76" s="83"/>
      <c r="C76" s="75"/>
      <c r="D76" s="85" t="s">
        <v>179</v>
      </c>
      <c r="E76" s="85"/>
      <c r="F76" s="85"/>
      <c r="G76" s="85"/>
      <c r="H76" s="85"/>
    </row>
    <row r="77" spans="2:8" ht="38.25" customHeight="1" x14ac:dyDescent="0.25">
      <c r="B77" s="83"/>
      <c r="C77" s="75"/>
      <c r="D77" s="86" t="s">
        <v>180</v>
      </c>
      <c r="E77" s="86"/>
      <c r="F77" s="86"/>
      <c r="G77" s="86"/>
      <c r="H77" s="86"/>
    </row>
    <row r="78" spans="2:8" ht="26.25" customHeight="1" x14ac:dyDescent="0.25">
      <c r="B78" s="83"/>
      <c r="C78" s="75"/>
      <c r="D78" s="85" t="s">
        <v>181</v>
      </c>
      <c r="E78" s="85"/>
      <c r="F78" s="85"/>
      <c r="G78" s="85"/>
      <c r="H78" s="85"/>
    </row>
    <row r="79" spans="2:8" ht="26.25" customHeight="1" x14ac:dyDescent="0.25">
      <c r="B79" s="83"/>
      <c r="C79" s="75"/>
      <c r="D79" s="86" t="s">
        <v>182</v>
      </c>
      <c r="E79" s="86"/>
      <c r="F79" s="86"/>
      <c r="G79" s="86"/>
      <c r="H79" s="86"/>
    </row>
    <row r="80" spans="2:8" ht="53.25" customHeight="1" x14ac:dyDescent="0.25">
      <c r="B80" s="84" t="s">
        <v>217</v>
      </c>
      <c r="C80" s="78" t="s">
        <v>199</v>
      </c>
      <c r="D80" s="81" t="s">
        <v>183</v>
      </c>
      <c r="E80" s="81"/>
      <c r="F80" s="81"/>
      <c r="G80" s="81"/>
      <c r="H80" s="81"/>
    </row>
    <row r="81" spans="2:8" x14ac:dyDescent="0.25">
      <c r="B81" s="84"/>
      <c r="C81" s="78"/>
      <c r="D81" s="82" t="s">
        <v>184</v>
      </c>
      <c r="E81" s="82"/>
      <c r="F81" s="82"/>
      <c r="G81" s="82"/>
      <c r="H81" s="82"/>
    </row>
    <row r="82" spans="2:8" ht="26.25" customHeight="1" x14ac:dyDescent="0.25">
      <c r="B82" s="84"/>
      <c r="C82" s="78"/>
      <c r="D82" s="81" t="s">
        <v>185</v>
      </c>
      <c r="E82" s="81"/>
      <c r="F82" s="81"/>
      <c r="G82" s="81"/>
      <c r="H82" s="81"/>
    </row>
    <row r="83" spans="2:8" x14ac:dyDescent="0.25">
      <c r="B83" s="84"/>
      <c r="C83" s="78"/>
      <c r="D83" s="82" t="s">
        <v>186</v>
      </c>
      <c r="E83" s="82"/>
      <c r="F83" s="82"/>
      <c r="G83" s="82"/>
      <c r="H83" s="82"/>
    </row>
    <row r="84" spans="2:8" ht="26.25" customHeight="1" x14ac:dyDescent="0.25">
      <c r="B84" s="84"/>
      <c r="C84" s="78"/>
      <c r="D84" s="81" t="s">
        <v>187</v>
      </c>
      <c r="E84" s="81"/>
      <c r="F84" s="81"/>
      <c r="G84" s="81"/>
      <c r="H84" s="81"/>
    </row>
    <row r="85" spans="2:8" ht="38.25" customHeight="1" x14ac:dyDescent="0.25">
      <c r="B85" s="84"/>
      <c r="C85" s="78"/>
      <c r="D85" s="82" t="s">
        <v>188</v>
      </c>
      <c r="E85" s="82"/>
      <c r="F85" s="82"/>
      <c r="G85" s="82"/>
      <c r="H85" s="82"/>
    </row>
    <row r="86" spans="2:8" ht="26.25" customHeight="1" x14ac:dyDescent="0.25">
      <c r="B86" s="84"/>
      <c r="C86" s="78"/>
      <c r="D86" s="81" t="s">
        <v>189</v>
      </c>
      <c r="E86" s="81"/>
      <c r="F86" s="81"/>
      <c r="G86" s="81"/>
      <c r="H86" s="81"/>
    </row>
    <row r="87" spans="2:8" ht="52.5" customHeight="1" x14ac:dyDescent="0.25">
      <c r="B87" s="84"/>
      <c r="C87" s="78"/>
      <c r="D87" s="82" t="s">
        <v>190</v>
      </c>
      <c r="E87" s="82"/>
      <c r="F87" s="82"/>
      <c r="G87" s="82"/>
      <c r="H87" s="82"/>
    </row>
    <row r="88" spans="2:8" ht="26.25" customHeight="1" x14ac:dyDescent="0.25">
      <c r="B88" s="84"/>
      <c r="C88" s="78"/>
      <c r="D88" s="81" t="s">
        <v>191</v>
      </c>
      <c r="E88" s="81"/>
      <c r="F88" s="81"/>
      <c r="G88" s="81"/>
      <c r="H88" s="81"/>
    </row>
    <row r="89" spans="2:8" ht="26.25" customHeight="1" x14ac:dyDescent="0.25">
      <c r="B89" s="84"/>
      <c r="C89" s="78"/>
      <c r="D89" s="82" t="s">
        <v>192</v>
      </c>
      <c r="E89" s="82"/>
      <c r="F89" s="82"/>
      <c r="G89" s="82"/>
      <c r="H89" s="82"/>
    </row>
    <row r="90" spans="2:8" ht="41.25" customHeight="1" x14ac:dyDescent="0.25">
      <c r="B90" s="84"/>
      <c r="C90" s="78"/>
      <c r="D90" s="81" t="s">
        <v>193</v>
      </c>
      <c r="E90" s="81"/>
      <c r="F90" s="81"/>
      <c r="G90" s="81"/>
      <c r="H90" s="81"/>
    </row>
    <row r="91" spans="2:8" ht="16.5" customHeight="1" x14ac:dyDescent="0.25">
      <c r="B91" s="83" t="s">
        <v>218</v>
      </c>
      <c r="C91" s="75" t="s">
        <v>198</v>
      </c>
      <c r="D91" s="85" t="s">
        <v>194</v>
      </c>
      <c r="E91" s="85"/>
      <c r="F91" s="85"/>
      <c r="G91" s="85"/>
      <c r="H91" s="85"/>
    </row>
    <row r="92" spans="2:8" ht="16.5" customHeight="1" x14ac:dyDescent="0.25">
      <c r="B92" s="83"/>
      <c r="C92" s="75"/>
      <c r="D92" s="86" t="s">
        <v>195</v>
      </c>
      <c r="E92" s="86"/>
      <c r="F92" s="86"/>
      <c r="G92" s="86"/>
      <c r="H92" s="86"/>
    </row>
    <row r="93" spans="2:8" ht="30" customHeight="1" x14ac:dyDescent="0.25">
      <c r="B93" s="83"/>
      <c r="C93" s="75"/>
      <c r="D93" s="85" t="s">
        <v>196</v>
      </c>
      <c r="E93" s="85"/>
      <c r="F93" s="85"/>
      <c r="G93" s="85"/>
      <c r="H93" s="85"/>
    </row>
    <row r="94" spans="2:8" ht="16.5" customHeight="1" x14ac:dyDescent="0.25">
      <c r="B94" s="83"/>
      <c r="C94" s="75"/>
      <c r="D94" s="86" t="s">
        <v>197</v>
      </c>
      <c r="E94" s="86"/>
      <c r="F94" s="86"/>
      <c r="G94" s="86"/>
      <c r="H94" s="86"/>
    </row>
    <row r="95" spans="2:8" ht="26.25" customHeight="1" x14ac:dyDescent="0.25">
      <c r="B95" s="84" t="s">
        <v>219</v>
      </c>
      <c r="C95" s="78" t="s">
        <v>201</v>
      </c>
      <c r="D95" s="81" t="s">
        <v>202</v>
      </c>
      <c r="E95" s="81"/>
      <c r="F95" s="81"/>
      <c r="G95" s="81"/>
      <c r="H95" s="81"/>
    </row>
    <row r="96" spans="2:8" ht="15" customHeight="1" x14ac:dyDescent="0.25">
      <c r="B96" s="84"/>
      <c r="C96" s="78"/>
      <c r="D96" s="82" t="s">
        <v>184</v>
      </c>
      <c r="E96" s="82"/>
      <c r="F96" s="82"/>
      <c r="G96" s="82"/>
      <c r="H96" s="82"/>
    </row>
    <row r="97" spans="2:8" ht="51.75" customHeight="1" x14ac:dyDescent="0.25">
      <c r="B97" s="84"/>
      <c r="C97" s="78"/>
      <c r="D97" s="81" t="s">
        <v>203</v>
      </c>
      <c r="E97" s="81"/>
      <c r="F97" s="81"/>
      <c r="G97" s="81"/>
      <c r="H97" s="81"/>
    </row>
    <row r="98" spans="2:8" ht="41.25" customHeight="1" x14ac:dyDescent="0.25">
      <c r="B98" s="84"/>
      <c r="C98" s="78"/>
      <c r="D98" s="82" t="s">
        <v>204</v>
      </c>
      <c r="E98" s="82"/>
      <c r="F98" s="82"/>
      <c r="G98" s="82"/>
      <c r="H98" s="82"/>
    </row>
    <row r="99" spans="2:8" ht="25.5" customHeight="1" x14ac:dyDescent="0.25">
      <c r="B99" s="84"/>
      <c r="C99" s="78"/>
      <c r="D99" s="81" t="s">
        <v>181</v>
      </c>
      <c r="E99" s="81"/>
      <c r="F99" s="81"/>
      <c r="G99" s="81"/>
      <c r="H99" s="81"/>
    </row>
    <row r="100" spans="2:8" ht="26.25" customHeight="1" x14ac:dyDescent="0.25">
      <c r="B100" s="84"/>
      <c r="C100" s="78"/>
      <c r="D100" s="82" t="s">
        <v>205</v>
      </c>
      <c r="E100" s="82"/>
      <c r="F100" s="82"/>
      <c r="G100" s="82"/>
      <c r="H100" s="82"/>
    </row>
    <row r="101" spans="2:8" ht="26.25" customHeight="1" x14ac:dyDescent="0.25">
      <c r="B101" s="84"/>
      <c r="C101" s="78"/>
      <c r="D101" s="81" t="s">
        <v>206</v>
      </c>
      <c r="E101" s="81"/>
      <c r="F101" s="81"/>
      <c r="G101" s="81"/>
      <c r="H101" s="81"/>
    </row>
    <row r="102" spans="2:8" ht="38.25" customHeight="1" x14ac:dyDescent="0.25">
      <c r="B102" s="84"/>
      <c r="C102" s="78"/>
      <c r="D102" s="82" t="s">
        <v>193</v>
      </c>
      <c r="E102" s="82"/>
      <c r="F102" s="82"/>
      <c r="G102" s="82"/>
      <c r="H102" s="82"/>
    </row>
    <row r="103" spans="2:8" ht="26.25" customHeight="1" x14ac:dyDescent="0.25">
      <c r="B103" s="84"/>
      <c r="C103" s="78"/>
      <c r="D103" s="81" t="s">
        <v>207</v>
      </c>
      <c r="E103" s="81"/>
      <c r="F103" s="81"/>
      <c r="G103" s="81"/>
      <c r="H103" s="81"/>
    </row>
    <row r="104" spans="2:8" ht="26.25" customHeight="1" x14ac:dyDescent="0.25">
      <c r="B104" s="84"/>
      <c r="C104" s="78"/>
      <c r="D104" s="82" t="s">
        <v>208</v>
      </c>
      <c r="E104" s="82"/>
      <c r="F104" s="82"/>
      <c r="G104" s="82"/>
      <c r="H104" s="82"/>
    </row>
    <row r="105" spans="2:8" ht="26.25" customHeight="1" x14ac:dyDescent="0.25">
      <c r="B105" s="84"/>
      <c r="C105" s="78"/>
      <c r="D105" s="81" t="s">
        <v>209</v>
      </c>
      <c r="E105" s="81"/>
      <c r="F105" s="81"/>
      <c r="G105" s="81"/>
      <c r="H105" s="81"/>
    </row>
    <row r="106" spans="2:8" ht="66.75" customHeight="1" x14ac:dyDescent="0.25">
      <c r="B106" s="83" t="s">
        <v>220</v>
      </c>
      <c r="C106" s="75" t="s">
        <v>211</v>
      </c>
      <c r="D106" s="76" t="s">
        <v>203</v>
      </c>
      <c r="E106" s="76"/>
      <c r="F106" s="76"/>
      <c r="G106" s="76"/>
      <c r="H106" s="76"/>
    </row>
    <row r="107" spans="2:8" ht="36.75" customHeight="1" x14ac:dyDescent="0.25">
      <c r="B107" s="83"/>
      <c r="C107" s="75"/>
      <c r="D107" s="77" t="s">
        <v>210</v>
      </c>
      <c r="E107" s="77"/>
      <c r="F107" s="77"/>
      <c r="G107" s="77"/>
      <c r="H107" s="77"/>
    </row>
    <row r="108" spans="2:8" ht="63.75" customHeight="1" x14ac:dyDescent="0.25">
      <c r="B108" s="84" t="s">
        <v>221</v>
      </c>
      <c r="C108" s="78" t="s">
        <v>212</v>
      </c>
      <c r="D108" s="79" t="s">
        <v>203</v>
      </c>
      <c r="E108" s="79"/>
      <c r="F108" s="79"/>
      <c r="G108" s="79"/>
      <c r="H108" s="79"/>
    </row>
    <row r="109" spans="2:8" ht="33.75" customHeight="1" x14ac:dyDescent="0.25">
      <c r="B109" s="84"/>
      <c r="C109" s="78"/>
      <c r="D109" s="80" t="s">
        <v>210</v>
      </c>
      <c r="E109" s="80"/>
      <c r="F109" s="80"/>
      <c r="G109" s="80"/>
      <c r="H109" s="80"/>
    </row>
  </sheetData>
  <mergeCells count="97">
    <mergeCell ref="B56:D56"/>
    <mergeCell ref="B57:C57"/>
    <mergeCell ref="B58:C58"/>
    <mergeCell ref="B59:C59"/>
    <mergeCell ref="B2:H2"/>
    <mergeCell ref="B4:H4"/>
    <mergeCell ref="B10:H10"/>
    <mergeCell ref="B19:H19"/>
    <mergeCell ref="B12:C12"/>
    <mergeCell ref="B13:C13"/>
    <mergeCell ref="C6:D6"/>
    <mergeCell ref="E6:F6"/>
    <mergeCell ref="B54:C54"/>
    <mergeCell ref="B33:C33"/>
    <mergeCell ref="B23:C23"/>
    <mergeCell ref="B48:D48"/>
    <mergeCell ref="B38:H38"/>
    <mergeCell ref="B49:C49"/>
    <mergeCell ref="B50:C50"/>
    <mergeCell ref="B51:C51"/>
    <mergeCell ref="B52:C52"/>
    <mergeCell ref="E13:F13"/>
    <mergeCell ref="E14:F14"/>
    <mergeCell ref="E15:F15"/>
    <mergeCell ref="G12:H12"/>
    <mergeCell ref="G13:H13"/>
    <mergeCell ref="G14:H14"/>
    <mergeCell ref="G15:H15"/>
    <mergeCell ref="B74:B79"/>
    <mergeCell ref="B80:B90"/>
    <mergeCell ref="B91:B94"/>
    <mergeCell ref="B95:B105"/>
    <mergeCell ref="D87:H87"/>
    <mergeCell ref="D88:H88"/>
    <mergeCell ref="D89:H89"/>
    <mergeCell ref="D90:H90"/>
    <mergeCell ref="C80:C90"/>
    <mergeCell ref="D91:H91"/>
    <mergeCell ref="D92:H92"/>
    <mergeCell ref="D93:H93"/>
    <mergeCell ref="D94:H94"/>
    <mergeCell ref="C91:C94"/>
    <mergeCell ref="C95:C105"/>
    <mergeCell ref="D95:H95"/>
    <mergeCell ref="B106:B107"/>
    <mergeCell ref="B108:B109"/>
    <mergeCell ref="C74:C79"/>
    <mergeCell ref="D74:H74"/>
    <mergeCell ref="D75:H75"/>
    <mergeCell ref="D76:H76"/>
    <mergeCell ref="D77:H77"/>
    <mergeCell ref="D78:H78"/>
    <mergeCell ref="D79:H79"/>
    <mergeCell ref="D80:H80"/>
    <mergeCell ref="D81:H81"/>
    <mergeCell ref="D82:H82"/>
    <mergeCell ref="D83:H83"/>
    <mergeCell ref="D84:H84"/>
    <mergeCell ref="D85:H85"/>
    <mergeCell ref="D86:H86"/>
    <mergeCell ref="D96:H96"/>
    <mergeCell ref="D97:H97"/>
    <mergeCell ref="D98:H98"/>
    <mergeCell ref="D99:H99"/>
    <mergeCell ref="D100:H100"/>
    <mergeCell ref="D101:H101"/>
    <mergeCell ref="D102:H102"/>
    <mergeCell ref="D103:H103"/>
    <mergeCell ref="D104:H104"/>
    <mergeCell ref="D105:H105"/>
    <mergeCell ref="C106:C107"/>
    <mergeCell ref="D106:H106"/>
    <mergeCell ref="D107:H107"/>
    <mergeCell ref="C108:C109"/>
    <mergeCell ref="D108:H108"/>
    <mergeCell ref="D109:H109"/>
    <mergeCell ref="D73:H73"/>
    <mergeCell ref="F48:H48"/>
    <mergeCell ref="F50:H50"/>
    <mergeCell ref="F51:H51"/>
    <mergeCell ref="F52:H52"/>
    <mergeCell ref="F53:H53"/>
    <mergeCell ref="F54:H54"/>
    <mergeCell ref="F55:H55"/>
    <mergeCell ref="F56:H56"/>
    <mergeCell ref="F57:H57"/>
    <mergeCell ref="F58:H58"/>
    <mergeCell ref="F59:H59"/>
    <mergeCell ref="B63:H63"/>
    <mergeCell ref="B65:D65"/>
    <mergeCell ref="B66:D66"/>
    <mergeCell ref="B53:C53"/>
    <mergeCell ref="B67:D67"/>
    <mergeCell ref="F65:H65"/>
    <mergeCell ref="F66:H66"/>
    <mergeCell ref="F67:H67"/>
    <mergeCell ref="B71:H71"/>
  </mergeCells>
  <pageMargins left="0.7" right="0.7" top="0.75" bottom="0.75" header="0.3" footer="0.3"/>
  <pageSetup paperSize="9" scale="82" orientation="landscape" r:id="rId1"/>
  <rowBreaks count="3" manualBreakCount="3">
    <brk id="36" max="16383" man="1"/>
    <brk id="70" max="7" man="1"/>
    <brk id="9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ENCUESTA</vt:lpstr>
      <vt:lpstr>CUESTIONARIO</vt:lpstr>
      <vt:lpstr>fórmulas</vt:lpstr>
      <vt:lpstr>RESULTADOS</vt:lpstr>
    </vt:vector>
  </TitlesOfParts>
  <Company>pu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orientacionS</dc:creator>
  <cp:lastModifiedBy>JARAMILLO CAICEDO RUBEN PATRICIO</cp:lastModifiedBy>
  <dcterms:created xsi:type="dcterms:W3CDTF">2017-06-28T14:55:59Z</dcterms:created>
  <dcterms:modified xsi:type="dcterms:W3CDTF">2025-12-03T16:52:46Z</dcterms:modified>
</cp:coreProperties>
</file>